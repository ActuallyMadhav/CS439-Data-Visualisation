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>
    <mc:Choice Requires="x15">
      <x15ac:absPath xmlns:x15ac="http://schemas.microsoft.com/office/spreadsheetml/2010/11/ac" url="/Users/xmt/classes/Purdue/CS439/Fall 2024/assignments/assignment1/"/>
    </mc:Choice>
  </mc:AlternateContent>
  <xr:revisionPtr revIDLastSave="0" documentId="13_ncr:1_{1694261A-26F0-5F4B-B525-FB188A0359EF}" xr6:coauthVersionLast="47" xr6:coauthVersionMax="47" xr10:uidLastSave="{00000000-0000-0000-0000-000000000000}"/>
  <bookViews>
    <workbookView xWindow="0" yWindow="500" windowWidth="27840" windowHeight="175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C11" i="1"/>
  <c r="C38" i="1"/>
  <c r="C9" i="1"/>
  <c r="C32" i="1"/>
  <c r="C65" i="1"/>
  <c r="C5" i="1"/>
  <c r="C12" i="1"/>
  <c r="C49" i="1"/>
  <c r="C37" i="1"/>
  <c r="C44" i="1"/>
  <c r="C47" i="1"/>
  <c r="C39" i="1"/>
  <c r="C21" i="1"/>
  <c r="C6" i="1"/>
  <c r="C55" i="1"/>
  <c r="C97" i="1"/>
  <c r="C50" i="1"/>
  <c r="C89" i="1"/>
  <c r="C63" i="1"/>
  <c r="C110" i="1"/>
  <c r="C96" i="1"/>
  <c r="C48" i="1"/>
  <c r="C102" i="1"/>
  <c r="C29" i="1"/>
  <c r="C105" i="1"/>
  <c r="C109" i="1"/>
  <c r="C46" i="1"/>
  <c r="C59" i="1"/>
  <c r="C94" i="1"/>
  <c r="C75" i="1"/>
  <c r="C20" i="1"/>
  <c r="C31" i="1"/>
  <c r="C108" i="1"/>
  <c r="C95" i="1"/>
  <c r="C57" i="1"/>
  <c r="C10" i="1"/>
  <c r="C91" i="1"/>
  <c r="C116" i="1"/>
  <c r="C87" i="1"/>
  <c r="C27" i="1"/>
  <c r="C112" i="1"/>
  <c r="C3" i="1"/>
  <c r="C24" i="1"/>
  <c r="C88" i="1"/>
  <c r="C45" i="1"/>
  <c r="C92" i="1"/>
  <c r="C35" i="1"/>
  <c r="C113" i="1"/>
  <c r="C107" i="1"/>
  <c r="C8" i="1"/>
  <c r="C33" i="1"/>
  <c r="C82" i="1"/>
  <c r="C17" i="1"/>
  <c r="C40" i="1"/>
  <c r="C76" i="1"/>
  <c r="C86" i="1"/>
  <c r="C51" i="1"/>
  <c r="C118" i="1"/>
  <c r="C42" i="1"/>
  <c r="C114" i="1"/>
  <c r="C79" i="1"/>
  <c r="C98" i="1"/>
  <c r="C117" i="1"/>
  <c r="C30" i="1"/>
  <c r="C34" i="1"/>
  <c r="C25" i="1"/>
  <c r="C58" i="1"/>
  <c r="C115" i="1"/>
  <c r="C64" i="1"/>
  <c r="C68" i="1"/>
  <c r="C84" i="1"/>
  <c r="C36" i="1"/>
  <c r="C43" i="1"/>
  <c r="C90" i="1"/>
  <c r="C19" i="1"/>
  <c r="C18" i="1"/>
  <c r="C119" i="1"/>
  <c r="C41" i="1"/>
  <c r="C111" i="1"/>
  <c r="C66" i="1"/>
  <c r="C72" i="1"/>
  <c r="C60" i="1"/>
  <c r="C77" i="1"/>
  <c r="C78" i="1"/>
  <c r="C53" i="1"/>
  <c r="C101" i="1"/>
  <c r="C85" i="1"/>
  <c r="C26" i="1"/>
  <c r="C28" i="1"/>
  <c r="C7" i="1"/>
  <c r="C23" i="1"/>
  <c r="C74" i="1"/>
  <c r="C2" i="1"/>
  <c r="C67" i="1"/>
  <c r="C83" i="1"/>
</calcChain>
</file>

<file path=xl/sharedStrings.xml><?xml version="1.0" encoding="utf-8"?>
<sst xmlns="http://schemas.openxmlformats.org/spreadsheetml/2006/main" count="690" uniqueCount="185">
  <si>
    <t>Manufacturer</t>
  </si>
  <si>
    <t>Model</t>
  </si>
  <si>
    <t>Weight</t>
  </si>
  <si>
    <t>Top Speed</t>
  </si>
  <si>
    <t>Range</t>
  </si>
  <si>
    <t>Acceleration</t>
  </si>
  <si>
    <t>Efficiency</t>
  </si>
  <si>
    <t>Price</t>
  </si>
  <si>
    <t>Country</t>
  </si>
  <si>
    <t>Region</t>
  </si>
  <si>
    <t>Tesla</t>
  </si>
  <si>
    <t>Model 3 Long Range Dual Motor</t>
  </si>
  <si>
    <t>USA</t>
  </si>
  <si>
    <t>America</t>
  </si>
  <si>
    <t>Volkswagen</t>
  </si>
  <si>
    <t>ID.3 Pure</t>
  </si>
  <si>
    <t>Germany</t>
  </si>
  <si>
    <t>Europe</t>
  </si>
  <si>
    <t>Polestar</t>
  </si>
  <si>
    <t>Sweden</t>
  </si>
  <si>
    <t>BMW</t>
  </si>
  <si>
    <t>iX3</t>
  </si>
  <si>
    <t>Honda</t>
  </si>
  <si>
    <t>e</t>
  </si>
  <si>
    <t>Japan</t>
  </si>
  <si>
    <t>Asia</t>
  </si>
  <si>
    <t>Lucid</t>
  </si>
  <si>
    <t>Air</t>
  </si>
  <si>
    <t>e-Golf</t>
  </si>
  <si>
    <t>Peugeot</t>
  </si>
  <si>
    <t>e-208</t>
  </si>
  <si>
    <t>France</t>
  </si>
  <si>
    <t>Model 3 Standard Range Plus</t>
  </si>
  <si>
    <t>Audi</t>
  </si>
  <si>
    <t>Q4 e-tron</t>
  </si>
  <si>
    <t>Mercedes</t>
  </si>
  <si>
    <t>EQC 400 4MATIC</t>
  </si>
  <si>
    <t>Nissan</t>
  </si>
  <si>
    <t>Leaf</t>
  </si>
  <si>
    <t>Hyundai</t>
  </si>
  <si>
    <t>Kona Electric 64 kWh</t>
  </si>
  <si>
    <t>South Korea</t>
  </si>
  <si>
    <t>i4</t>
  </si>
  <si>
    <t>IONIQ Electric</t>
  </si>
  <si>
    <t>ID.3 Pro S</t>
  </si>
  <si>
    <t>Porsche</t>
  </si>
  <si>
    <t>Taycan Turbo S</t>
  </si>
  <si>
    <t>e-Up!</t>
  </si>
  <si>
    <t>MG</t>
  </si>
  <si>
    <t>ZS EV</t>
  </si>
  <si>
    <t>UK</t>
  </si>
  <si>
    <t>Mini</t>
  </si>
  <si>
    <t>Cooper SE</t>
  </si>
  <si>
    <t>Opel</t>
  </si>
  <si>
    <t>Corsa-e</t>
  </si>
  <si>
    <t>Model Y Long Range Dual Motor</t>
  </si>
  <si>
    <t>Skoda</t>
  </si>
  <si>
    <t>Enyaq iV 50</t>
  </si>
  <si>
    <t>Czechia</t>
  </si>
  <si>
    <t>e-tron GT</t>
  </si>
  <si>
    <t>Model 3 Long Range Performance</t>
  </si>
  <si>
    <t>ID.4</t>
  </si>
  <si>
    <t>ID.3 Pro</t>
  </si>
  <si>
    <t>Volvo</t>
  </si>
  <si>
    <t>XC40 P8 AWD Recharge</t>
  </si>
  <si>
    <t>i3 120 Ah</t>
  </si>
  <si>
    <t>e-2008 SUV</t>
  </si>
  <si>
    <t>e-tron 50 quattro</t>
  </si>
  <si>
    <t>Kia</t>
  </si>
  <si>
    <t>e-Niro 64 kWh</t>
  </si>
  <si>
    <t>Renault</t>
  </si>
  <si>
    <t>Zoe ZE50 R110</t>
  </si>
  <si>
    <t>Cybertruck Tri Motor</t>
  </si>
  <si>
    <t>Mazda</t>
  </si>
  <si>
    <t>MX-30</t>
  </si>
  <si>
    <t>Leaf e+</t>
  </si>
  <si>
    <t>Lexus</t>
  </si>
  <si>
    <t>UX 300e</t>
  </si>
  <si>
    <t>CUPRA</t>
  </si>
  <si>
    <t>el-Born</t>
  </si>
  <si>
    <t>Spain</t>
  </si>
  <si>
    <t>Zoe ZE50 R135</t>
  </si>
  <si>
    <t>EQA</t>
  </si>
  <si>
    <t>Model S Long Range</t>
  </si>
  <si>
    <t>Kona Electric 39 kWh</t>
  </si>
  <si>
    <t>e-tron Sportback 55 quattro</t>
  </si>
  <si>
    <t>CITIGOe iV</t>
  </si>
  <si>
    <t>SEAT</t>
  </si>
  <si>
    <t>Mii Electric</t>
  </si>
  <si>
    <t>e-Soul 64 kWh</t>
  </si>
  <si>
    <t>Ampera-e</t>
  </si>
  <si>
    <t>Taycan 4S</t>
  </si>
  <si>
    <t>Lightyear</t>
  </si>
  <si>
    <t>One</t>
  </si>
  <si>
    <t>Netherland</t>
  </si>
  <si>
    <t>Aiways</t>
  </si>
  <si>
    <t>U5</t>
  </si>
  <si>
    <t>China</t>
  </si>
  <si>
    <t>e-tron 55 quattro</t>
  </si>
  <si>
    <t>Roadster</t>
  </si>
  <si>
    <t>Mokka-e</t>
  </si>
  <si>
    <t>Enyaq iV 80</t>
  </si>
  <si>
    <t>Model X Long Range</t>
  </si>
  <si>
    <t>e Advance</t>
  </si>
  <si>
    <t>DS</t>
  </si>
  <si>
    <t>3 Crossback E-Tense</t>
  </si>
  <si>
    <t>Twingo ZE</t>
  </si>
  <si>
    <t>Citroen</t>
  </si>
  <si>
    <t>e-C4</t>
  </si>
  <si>
    <t>Model S Performance</t>
  </si>
  <si>
    <t>Zoe ZE40 R110</t>
  </si>
  <si>
    <t>Model Y Long Range Performance</t>
  </si>
  <si>
    <t>Ariya 87kWh</t>
  </si>
  <si>
    <t>Jaguar</t>
  </si>
  <si>
    <t>I-Pace</t>
  </si>
  <si>
    <t>Ford</t>
  </si>
  <si>
    <t>Mustang Mach-E ER RWD</t>
  </si>
  <si>
    <t>Taycan 4S Plus</t>
  </si>
  <si>
    <t>e-NV200 Evalia</t>
  </si>
  <si>
    <t>Cybertruck Dual Motor</t>
  </si>
  <si>
    <t>Kangoo Maxi ZE 33</t>
  </si>
  <si>
    <t>Mustang Mach-E ER AWD</t>
  </si>
  <si>
    <t>i3s 120 Ah</t>
  </si>
  <si>
    <t>Enyaq iV 80X</t>
  </si>
  <si>
    <t>Taycan Cross Turismo</t>
  </si>
  <si>
    <t>Byton</t>
  </si>
  <si>
    <t>M-Byte 95 kWh 4WD</t>
  </si>
  <si>
    <t>Sono</t>
  </si>
  <si>
    <t>Sion</t>
  </si>
  <si>
    <t>e-Niro 39 kWh</t>
  </si>
  <si>
    <t>Q4 Sportback e-tron</t>
  </si>
  <si>
    <t>Smart</t>
  </si>
  <si>
    <t>EQ forfour</t>
  </si>
  <si>
    <t>Mustang Mach-E SR AWD</t>
  </si>
  <si>
    <t>Taycan Turbo</t>
  </si>
  <si>
    <t>ID.3 1st</t>
  </si>
  <si>
    <t>Model X Performance</t>
  </si>
  <si>
    <t>EQ fortwo coupe</t>
  </si>
  <si>
    <t>Mustang Mach-E SR RWD</t>
  </si>
  <si>
    <t>EQV 300 Long</t>
  </si>
  <si>
    <t>Fiat</t>
  </si>
  <si>
    <t>500e Hatchback</t>
  </si>
  <si>
    <t>Italy</t>
  </si>
  <si>
    <t>Cybertruck Single Motor</t>
  </si>
  <si>
    <t>e-tron Sportback 50 quattro</t>
  </si>
  <si>
    <t>Enyaq iV vRS</t>
  </si>
  <si>
    <t>Enyaq iV 60</t>
  </si>
  <si>
    <t>e-tron S 55 quattro</t>
  </si>
  <si>
    <t>EQ fortwo cabrio</t>
  </si>
  <si>
    <t>Ariya e-4ORCE 87kWh</t>
  </si>
  <si>
    <t>500e Convertible</t>
  </si>
  <si>
    <t>ID.3 Pro Performance</t>
  </si>
  <si>
    <t>e-Soul 39 kWh</t>
  </si>
  <si>
    <t>M-Byte 72 kWh 2WD</t>
  </si>
  <si>
    <t>Ariya 63kWh</t>
  </si>
  <si>
    <t>e-tron S Sportback 55 quattro</t>
  </si>
  <si>
    <t>Ariya e-4ORCE 63kWh</t>
  </si>
  <si>
    <t>Ariya e-4ORCE 87kWh Performance</t>
  </si>
  <si>
    <t>Expected in 2024</t>
  </si>
  <si>
    <t>N/A</t>
  </si>
  <si>
    <t>Year</t>
  </si>
  <si>
    <t>Chevrolet</t>
  </si>
  <si>
    <t>Blazer EV</t>
  </si>
  <si>
    <t>Ioniq 6</t>
  </si>
  <si>
    <t>i7</t>
  </si>
  <si>
    <t>EV9</t>
  </si>
  <si>
    <t>Jeep</t>
  </si>
  <si>
    <t>Avenger</t>
  </si>
  <si>
    <t>EQE SUV</t>
  </si>
  <si>
    <t>ID.7</t>
  </si>
  <si>
    <t>Toyota</t>
  </si>
  <si>
    <t>bZ4X</t>
  </si>
  <si>
    <t>Subaru</t>
  </si>
  <si>
    <t>Solterra</t>
  </si>
  <si>
    <t>Niro EV (2022 Edition)</t>
  </si>
  <si>
    <t>Cadillac</t>
  </si>
  <si>
    <t>Lyriq</t>
  </si>
  <si>
    <t>Ioniq 5</t>
  </si>
  <si>
    <t>iX</t>
  </si>
  <si>
    <t>Rivian</t>
  </si>
  <si>
    <t>R1S</t>
  </si>
  <si>
    <t>Mercedes-Benz</t>
  </si>
  <si>
    <t>EQB</t>
  </si>
  <si>
    <t>Motors Gravity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</si>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</sst>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2.0"/>
      <color theme="1" rgb="000000"/>
      <name val="Calibri"/>
      <family val="2"/>
      <scheme val="minor"/>
    </font>
    <font>
      <b/>
      <sz val="12.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 applyFont="true"/>
    <xf numFmtId="0" fontId="1" fillId="0" borderId="1" xfId="0" applyFont="true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9"/>
  <sheetViews>
    <sheetView tabSelected="1" topLeftCell="A99" zoomScale="150" zoomScaleNormal="150" workbookViewId="0">
      <selection activeCell="B32" sqref="B1:B1048576"/>
    </sheetView>
  </sheetViews>
  <sheetFormatPr baseColWidth="10" defaultColWidth="8.83203125" defaultRowHeight="15" x14ac:dyDescent="0.2"/>
  <cols>
    <col min="2" max="2" customWidth="true" width="29.0"/>
    <col min="3" max="3" customWidth="true" width="18.6640625"/>
    <col min="6" max="6" customWidth="true" width="10.1640625"/>
    <col min="7" max="7" customWidth="true" width="11.6640625"/>
    <col min="8" max="8" customWidth="true" width="11.33203125"/>
    <col min="9" max="9" customWidth="true" width="11.6640625"/>
    <col min="10" max="10" customWidth="true" width="10.5"/>
  </cols>
  <sheetData>
    <row r="1" spans="1:13" x14ac:dyDescent="0.2">
      <c r="A1" s="1" t="s">
        <v>0</v>
      </c>
      <c r="B1" s="1" t="s">
        <v>1</v>
      </c>
      <c r="C1" s="1" t="s">
        <v>160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M1" s="2"/>
    </row>
    <row r="2" spans="1:13" x14ac:dyDescent="0.2">
      <c r="A2" t="s" s="0">
        <v>18</v>
      </c>
      <c r="B2" s="0">
        <v>2</v>
      </c>
      <c r="C2" s="0">
        <f>_xlfn.XLOOKUP($B2,Sheet2!$B:$B,Sheet2!$C:$C)</f>
        <v>2020</v>
      </c>
      <c r="D2" s="0">
        <v>2113</v>
      </c>
      <c r="E2" s="0">
        <v>210</v>
      </c>
      <c r="F2" s="0">
        <v>400</v>
      </c>
      <c r="G2" s="0">
        <v>4.7</v>
      </c>
      <c r="H2" s="0">
        <v>181</v>
      </c>
      <c r="I2" s="0">
        <v>56440</v>
      </c>
      <c r="J2" t="s" s="0">
        <v>19</v>
      </c>
      <c r="K2" t="s" s="0">
        <v>17</v>
      </c>
    </row>
    <row r="3" spans="1:13" x14ac:dyDescent="0.2">
      <c r="A3" t="s" s="0">
        <v>104</v>
      </c>
      <c r="B3" t="s" s="0">
        <v>105</v>
      </c>
      <c r="C3" s="0">
        <f>_xlfn.XLOOKUP($B3,Sheet2!$B:$B,Sheet2!$C:$C)</f>
        <v>2019</v>
      </c>
      <c r="D3" s="0">
        <v>1523</v>
      </c>
      <c r="E3" s="0">
        <v>150</v>
      </c>
      <c r="F3" s="0">
        <v>250</v>
      </c>
      <c r="G3" s="0">
        <v>8.6999999999999993</v>
      </c>
      <c r="H3" s="0">
        <v>180</v>
      </c>
      <c r="I3" s="0">
        <v>37422</v>
      </c>
      <c r="J3" t="s" s="0">
        <v>31</v>
      </c>
      <c r="K3" t="s" s="0">
        <v>17</v>
      </c>
    </row>
    <row r="4" spans="1:13" x14ac:dyDescent="0.2">
      <c r="A4" t="s" s="0">
        <v>18</v>
      </c>
      <c r="B4" t="s" s="0">
        <v>184</v>
      </c>
      <c r="C4" s="0">
        <v>2023</v>
      </c>
      <c r="D4" s="0">
        <v>2300</v>
      </c>
      <c r="E4" s="0">
        <v>200</v>
      </c>
      <c r="F4" s="0">
        <v>600</v>
      </c>
      <c r="G4" s="0">
        <v>4.7</v>
      </c>
      <c r="H4" s="0">
        <v>170</v>
      </c>
      <c r="I4" s="0">
        <v>60000</v>
      </c>
      <c r="J4" t="s" s="0">
        <v>19</v>
      </c>
      <c r="K4" t="s" s="0">
        <v>17</v>
      </c>
    </row>
    <row r="5" spans="1:13" x14ac:dyDescent="0.2">
      <c r="A5" t="s" s="0">
        <v>140</v>
      </c>
      <c r="B5" t="s" s="0">
        <v>150</v>
      </c>
      <c r="C5" s="0">
        <f>_xlfn.XLOOKUP($B5,Sheet2!$B:$B,Sheet2!$C:$C)</f>
        <v>2020</v>
      </c>
      <c r="D5" s="0">
        <v>1330</v>
      </c>
      <c r="E5" s="0">
        <v>150</v>
      </c>
      <c r="F5" s="0">
        <v>250</v>
      </c>
      <c r="G5" s="0">
        <v>9</v>
      </c>
      <c r="H5" s="0">
        <v>168</v>
      </c>
      <c r="I5" s="0">
        <v>37900</v>
      </c>
      <c r="J5" t="s" s="0">
        <v>142</v>
      </c>
      <c r="K5" t="s" s="0">
        <v>17</v>
      </c>
    </row>
    <row r="6" spans="1:13" x14ac:dyDescent="0.2">
      <c r="A6" t="s" s="0">
        <v>140</v>
      </c>
      <c r="B6" t="s" s="0">
        <v>141</v>
      </c>
      <c r="C6" s="0">
        <f>_xlfn.XLOOKUP($B6,Sheet2!$B:$B,Sheet2!$C:$C)</f>
        <v>2020</v>
      </c>
      <c r="D6" s="0">
        <v>1330</v>
      </c>
      <c r="E6" s="0">
        <v>150</v>
      </c>
      <c r="F6" s="0">
        <v>250</v>
      </c>
      <c r="G6" s="0">
        <v>9</v>
      </c>
      <c r="H6" s="0">
        <v>168</v>
      </c>
      <c r="I6" s="0">
        <v>34900</v>
      </c>
      <c r="J6" t="s" s="0">
        <v>142</v>
      </c>
      <c r="K6" t="s" s="0">
        <v>17</v>
      </c>
    </row>
    <row r="7" spans="1:13" x14ac:dyDescent="0.2">
      <c r="A7" t="s" s="0">
        <v>26</v>
      </c>
      <c r="B7" t="s" s="0">
        <v>27</v>
      </c>
      <c r="C7" s="0">
        <f>_xlfn.XLOOKUP($B7,Sheet2!$B:$B,Sheet2!$C:$C)</f>
        <v>2021</v>
      </c>
      <c r="D7" s="0">
        <v>2374</v>
      </c>
      <c r="E7" s="0">
        <v>250</v>
      </c>
      <c r="F7" s="0">
        <v>610</v>
      </c>
      <c r="G7" s="0">
        <v>2.8</v>
      </c>
      <c r="H7" s="0">
        <v>180</v>
      </c>
      <c r="I7" s="0">
        <v>105000</v>
      </c>
      <c r="J7" t="s" s="0">
        <v>12</v>
      </c>
      <c r="K7" t="s" s="0">
        <v>13</v>
      </c>
    </row>
    <row r="8" spans="1:13" x14ac:dyDescent="0.2">
      <c r="A8" t="s" s="0">
        <v>53</v>
      </c>
      <c r="B8" t="s" s="0">
        <v>90</v>
      </c>
      <c r="C8" s="0">
        <f>_xlfn.XLOOKUP($B8,Sheet2!$B:$B,Sheet2!$C:$C)</f>
        <v>2017</v>
      </c>
      <c r="D8" s="0">
        <v>1616</v>
      </c>
      <c r="E8" s="0">
        <v>150</v>
      </c>
      <c r="F8" s="0">
        <v>335</v>
      </c>
      <c r="G8" s="0">
        <v>7.3</v>
      </c>
      <c r="H8" s="0">
        <v>173</v>
      </c>
      <c r="I8" s="0">
        <v>41906</v>
      </c>
      <c r="J8" t="s" s="0">
        <v>16</v>
      </c>
      <c r="K8" t="s" s="0">
        <v>17</v>
      </c>
    </row>
    <row r="9" spans="1:13" x14ac:dyDescent="0.2">
      <c r="A9" t="s" s="0">
        <v>37</v>
      </c>
      <c r="B9" t="s" s="0">
        <v>154</v>
      </c>
      <c r="C9" s="0">
        <f>_xlfn.XLOOKUP($B9,Sheet2!$B:$B,Sheet2!$C:$C)</f>
        <v>2021</v>
      </c>
      <c r="D9" s="0">
        <v>2030</v>
      </c>
      <c r="E9" s="0">
        <v>160</v>
      </c>
      <c r="F9" s="0">
        <v>330</v>
      </c>
      <c r="G9" s="0">
        <v>7.5</v>
      </c>
      <c r="H9" s="0">
        <v>191</v>
      </c>
      <c r="I9" s="0">
        <v>45000</v>
      </c>
      <c r="J9" t="s" s="0">
        <v>24</v>
      </c>
      <c r="K9" t="s" s="0">
        <v>25</v>
      </c>
    </row>
    <row r="10" spans="1:13" x14ac:dyDescent="0.2">
      <c r="A10" t="s" s="0">
        <v>37</v>
      </c>
      <c r="B10" t="s" s="0">
        <v>112</v>
      </c>
      <c r="C10" s="0">
        <f>_xlfn.XLOOKUP($B10,Sheet2!$B:$B,Sheet2!$C:$C)</f>
        <v>2021</v>
      </c>
      <c r="D10" s="0">
        <v>2121</v>
      </c>
      <c r="E10" s="0">
        <v>160</v>
      </c>
      <c r="F10" s="0">
        <v>440</v>
      </c>
      <c r="G10" s="0">
        <v>7.6</v>
      </c>
      <c r="H10" s="0">
        <v>198</v>
      </c>
      <c r="I10" s="0">
        <v>50000</v>
      </c>
      <c r="J10" t="s" s="0">
        <v>24</v>
      </c>
      <c r="K10" t="s" s="0">
        <v>25</v>
      </c>
    </row>
    <row r="11" spans="1:13" x14ac:dyDescent="0.2">
      <c r="A11" t="s" s="0">
        <v>37</v>
      </c>
      <c r="B11" t="s" s="0">
        <v>156</v>
      </c>
      <c r="C11" s="0">
        <f>_xlfn.XLOOKUP($B11,Sheet2!$B:$B,Sheet2!$C:$C)</f>
        <v>2021</v>
      </c>
      <c r="D11" s="0">
        <v>2135</v>
      </c>
      <c r="E11" s="0">
        <v>200</v>
      </c>
      <c r="F11" s="0">
        <v>325</v>
      </c>
      <c r="G11" s="0">
        <v>5.9</v>
      </c>
      <c r="H11" s="0">
        <v>194</v>
      </c>
      <c r="I11" s="0">
        <v>50000</v>
      </c>
      <c r="J11" t="s" s="0">
        <v>24</v>
      </c>
      <c r="K11" t="s" s="0">
        <v>25</v>
      </c>
    </row>
    <row r="12" spans="1:13" x14ac:dyDescent="0.2">
      <c r="A12" t="s" s="0">
        <v>37</v>
      </c>
      <c r="B12" t="s" s="0">
        <v>149</v>
      </c>
      <c r="C12" s="0">
        <f>_xlfn.XLOOKUP($B12,Sheet2!$B:$B,Sheet2!$C:$C)</f>
        <v>2021</v>
      </c>
      <c r="D12" s="0">
        <v>2275</v>
      </c>
      <c r="E12" s="0">
        <v>200</v>
      </c>
      <c r="F12" s="0">
        <v>420</v>
      </c>
      <c r="G12" s="0">
        <v>5.7</v>
      </c>
      <c r="H12" s="0">
        <v>207</v>
      </c>
      <c r="I12" s="0">
        <v>57500</v>
      </c>
      <c r="J12" t="s" s="0">
        <v>24</v>
      </c>
      <c r="K12" t="s" s="0">
        <v>25</v>
      </c>
    </row>
    <row r="13" spans="1:13" x14ac:dyDescent="0.2">
      <c r="A13" t="s" s="0">
        <v>37</v>
      </c>
      <c r="B13" t="s" s="0">
        <v>157</v>
      </c>
      <c r="C13" s="0">
        <f>_xlfn.XLOOKUP($B13,Sheet2!$B:$B,Sheet2!$C:$C)</f>
        <v>2021</v>
      </c>
      <c r="D13" s="0">
        <v>2275</v>
      </c>
      <c r="E13" s="0">
        <v>200</v>
      </c>
      <c r="F13" s="0">
        <v>375</v>
      </c>
      <c r="G13" s="0">
        <v>5.0999999999999996</v>
      </c>
      <c r="H13" s="0">
        <v>232</v>
      </c>
      <c r="I13" s="0">
        <v>65000</v>
      </c>
      <c r="J13" t="s" s="0">
        <v>24</v>
      </c>
      <c r="K13" t="s" s="0">
        <v>25</v>
      </c>
    </row>
    <row r="14" spans="1:13" x14ac:dyDescent="0.2">
      <c r="A14" t="s" s="0">
        <v>166</v>
      </c>
      <c r="B14" t="s" s="0">
        <v>167</v>
      </c>
      <c r="C14" s="0">
        <v>2023</v>
      </c>
      <c r="D14" s="0">
        <v>1500</v>
      </c>
      <c r="E14" s="0">
        <v>150</v>
      </c>
      <c r="F14" s="0">
        <v>400</v>
      </c>
      <c r="G14" s="0">
        <v>9</v>
      </c>
      <c r="H14" s="0">
        <v>156</v>
      </c>
      <c r="I14" s="0">
        <v>40000</v>
      </c>
      <c r="J14" t="s" s="0">
        <v>12</v>
      </c>
      <c r="K14" t="s" s="0">
        <v>13</v>
      </c>
    </row>
    <row r="15" spans="1:13" x14ac:dyDescent="0.2">
      <c r="A15" t="s" s="0">
        <v>161</v>
      </c>
      <c r="B15" t="s" s="0">
        <v>162</v>
      </c>
      <c r="C15" s="0">
        <v>2023</v>
      </c>
      <c r="D15" s="0">
        <v>2160</v>
      </c>
      <c r="E15" s="0">
        <v>190</v>
      </c>
      <c r="F15" s="0">
        <v>515</v>
      </c>
      <c r="G15" s="0">
        <v>4</v>
      </c>
      <c r="H15" s="0">
        <v>200</v>
      </c>
      <c r="I15" s="0">
        <v>52000</v>
      </c>
      <c r="J15" t="s" s="0">
        <v>12</v>
      </c>
      <c r="K15" t="s" s="0">
        <v>13</v>
      </c>
    </row>
    <row r="16" spans="1:13" x14ac:dyDescent="0.2">
      <c r="A16" t="s" s="0">
        <v>170</v>
      </c>
      <c r="B16" t="s" s="0">
        <v>171</v>
      </c>
      <c r="C16" s="0">
        <v>2022</v>
      </c>
      <c r="D16" s="0">
        <v>1950</v>
      </c>
      <c r="E16" s="0">
        <v>160</v>
      </c>
      <c r="F16" s="0">
        <v>500</v>
      </c>
      <c r="G16" s="0">
        <v>7.7</v>
      </c>
      <c r="H16" s="0">
        <v>166</v>
      </c>
      <c r="I16" s="0">
        <v>44000</v>
      </c>
      <c r="J16" t="s" s="0">
        <v>24</v>
      </c>
      <c r="K16" t="s" s="0">
        <v>25</v>
      </c>
    </row>
    <row r="17" spans="1:11" x14ac:dyDescent="0.2">
      <c r="A17" t="s" s="0">
        <v>56</v>
      </c>
      <c r="B17" t="s" s="0">
        <v>86</v>
      </c>
      <c r="C17" s="0">
        <f>_xlfn.XLOOKUP($B17,Sheet2!$B:$B,Sheet2!$C:$C)</f>
        <v>2019</v>
      </c>
      <c r="D17" s="0">
        <v>1235</v>
      </c>
      <c r="E17" s="0">
        <v>130</v>
      </c>
      <c r="F17" s="0">
        <v>195</v>
      </c>
      <c r="G17" s="0">
        <v>12.3</v>
      </c>
      <c r="H17" s="0">
        <v>166</v>
      </c>
      <c r="I17" s="0">
        <v>24534</v>
      </c>
      <c r="J17" t="s" s="0">
        <v>58</v>
      </c>
      <c r="K17" t="s" s="0">
        <v>17</v>
      </c>
    </row>
    <row r="18" spans="1:11" x14ac:dyDescent="0.2">
      <c r="A18" t="s" s="0">
        <v>51</v>
      </c>
      <c r="B18" t="s" s="0">
        <v>52</v>
      </c>
      <c r="C18" s="0">
        <f>_xlfn.XLOOKUP($B18,Sheet2!$B:$B,Sheet2!$C:$C)</f>
        <v>2020</v>
      </c>
      <c r="D18" s="0">
        <v>1365</v>
      </c>
      <c r="E18" s="0">
        <v>150</v>
      </c>
      <c r="F18" s="0">
        <v>185</v>
      </c>
      <c r="G18" s="0">
        <v>7.3</v>
      </c>
      <c r="H18" s="0">
        <v>156</v>
      </c>
      <c r="I18" s="0">
        <v>31681</v>
      </c>
      <c r="J18" t="s" s="0">
        <v>50</v>
      </c>
      <c r="K18" t="s" s="0">
        <v>17</v>
      </c>
    </row>
    <row r="19" spans="1:11" x14ac:dyDescent="0.2">
      <c r="A19" t="s" s="0">
        <v>53</v>
      </c>
      <c r="B19" t="s" s="0">
        <v>54</v>
      </c>
      <c r="C19" s="0">
        <f>_xlfn.XLOOKUP($B19,Sheet2!$B:$B,Sheet2!$C:$C)</f>
        <v>2019</v>
      </c>
      <c r="D19" s="0">
        <v>1455</v>
      </c>
      <c r="E19" s="0">
        <v>150</v>
      </c>
      <c r="F19" s="0">
        <v>275</v>
      </c>
      <c r="G19" s="0">
        <v>8.1</v>
      </c>
      <c r="H19" s="0">
        <v>164</v>
      </c>
      <c r="I19" s="0">
        <v>29146</v>
      </c>
      <c r="J19" t="s" s="0">
        <v>16</v>
      </c>
      <c r="K19" t="s" s="0">
        <v>17</v>
      </c>
    </row>
    <row r="20" spans="1:11" x14ac:dyDescent="0.2">
      <c r="A20" t="s" s="0">
        <v>10</v>
      </c>
      <c r="B20" t="s" s="0">
        <v>119</v>
      </c>
      <c r="C20" s="0">
        <f>_xlfn.XLOOKUP($B20,Sheet2!$B:$B,Sheet2!$C:$C)</f>
        <v>2024</v>
      </c>
      <c r="D20" s="0">
        <v>3000</v>
      </c>
      <c r="E20" s="0">
        <v>190</v>
      </c>
      <c r="F20" s="0">
        <v>460</v>
      </c>
      <c r="G20" s="0">
        <v>5</v>
      </c>
      <c r="H20" s="0">
        <v>261</v>
      </c>
      <c r="I20" s="0">
        <v>55000</v>
      </c>
      <c r="J20" t="s" s="0">
        <v>12</v>
      </c>
      <c r="K20" t="s" s="0">
        <v>13</v>
      </c>
    </row>
    <row r="21" spans="1:11" x14ac:dyDescent="0.2">
      <c r="A21" t="s" s="0">
        <v>10</v>
      </c>
      <c r="B21" t="s" s="0">
        <v>143</v>
      </c>
      <c r="C21" s="0">
        <f>_xlfn.XLOOKUP($B21,Sheet2!$B:$B,Sheet2!$C:$C)</f>
        <v>2024</v>
      </c>
      <c r="D21" s="0">
        <v>3000</v>
      </c>
      <c r="E21" s="0">
        <v>180</v>
      </c>
      <c r="F21" s="0">
        <v>390</v>
      </c>
      <c r="G21" s="0">
        <v>7</v>
      </c>
      <c r="H21" s="0">
        <v>256</v>
      </c>
      <c r="I21" s="0">
        <v>45000</v>
      </c>
      <c r="J21" t="s" s="0">
        <v>12</v>
      </c>
      <c r="K21" t="s" s="0">
        <v>13</v>
      </c>
    </row>
    <row r="22" spans="1:11" x14ac:dyDescent="0.2">
      <c r="A22" t="s" s="0">
        <v>10</v>
      </c>
      <c r="B22" t="s" s="0">
        <v>72</v>
      </c>
      <c r="C22" s="0">
        <v>2024</v>
      </c>
      <c r="D22" s="0">
        <v>3000</v>
      </c>
      <c r="E22" s="0">
        <v>210</v>
      </c>
      <c r="F22" s="0">
        <v>750</v>
      </c>
      <c r="G22" s="0">
        <v>3</v>
      </c>
      <c r="H22" s="0">
        <v>267</v>
      </c>
      <c r="I22" s="0">
        <v>75000</v>
      </c>
      <c r="J22" t="s" s="0">
        <v>12</v>
      </c>
      <c r="K22" t="s" s="0">
        <v>13</v>
      </c>
    </row>
    <row r="23" spans="1:11" x14ac:dyDescent="0.2">
      <c r="A23" t="s" s="0">
        <v>22</v>
      </c>
      <c r="B23" t="s" s="0">
        <v>23</v>
      </c>
      <c r="C23" s="0">
        <f>_xlfn.XLOOKUP($B23,Sheet2!$B:$B,Sheet2!$C:$C)</f>
        <v>2020</v>
      </c>
      <c r="D23" s="0">
        <v>1514</v>
      </c>
      <c r="E23" s="0">
        <v>145</v>
      </c>
      <c r="F23" s="0">
        <v>170</v>
      </c>
      <c r="G23" s="0">
        <v>9.5</v>
      </c>
      <c r="H23" s="0">
        <v>168</v>
      </c>
      <c r="I23" s="0">
        <v>32997</v>
      </c>
      <c r="J23" t="s" s="0">
        <v>24</v>
      </c>
      <c r="K23" t="s" s="0">
        <v>25</v>
      </c>
    </row>
    <row r="24" spans="1:11" x14ac:dyDescent="0.2">
      <c r="A24" t="s" s="0">
        <v>22</v>
      </c>
      <c r="B24" t="s" s="0">
        <v>103</v>
      </c>
      <c r="C24" s="0">
        <f>_xlfn.XLOOKUP($B24,Sheet2!$B:$B,Sheet2!$C:$C)</f>
        <v>2020</v>
      </c>
      <c r="D24" s="0">
        <v>1543</v>
      </c>
      <c r="E24" s="0">
        <v>145</v>
      </c>
      <c r="F24" s="0">
        <v>170</v>
      </c>
      <c r="G24" s="0">
        <v>8.3000000000000007</v>
      </c>
      <c r="H24" s="0">
        <v>168</v>
      </c>
      <c r="I24" s="0">
        <v>35921</v>
      </c>
      <c r="J24" t="s" s="0">
        <v>24</v>
      </c>
      <c r="K24" t="s" s="0">
        <v>25</v>
      </c>
    </row>
    <row r="25" spans="1:11" x14ac:dyDescent="0.2">
      <c r="A25" t="s" s="0">
        <v>29</v>
      </c>
      <c r="B25" t="s" s="0">
        <v>66</v>
      </c>
      <c r="C25" s="0">
        <f>_xlfn.XLOOKUP($B25,Sheet2!$B:$B,Sheet2!$C:$C)</f>
        <v>2020</v>
      </c>
      <c r="D25" s="0">
        <v>1548</v>
      </c>
      <c r="E25" s="0">
        <v>150</v>
      </c>
      <c r="F25" s="0">
        <v>250</v>
      </c>
      <c r="G25" s="0">
        <v>8.5</v>
      </c>
      <c r="H25" s="0">
        <v>180</v>
      </c>
      <c r="I25" s="0">
        <v>34361</v>
      </c>
      <c r="J25" t="s" s="0">
        <v>31</v>
      </c>
      <c r="K25" t="s" s="0">
        <v>17</v>
      </c>
    </row>
    <row r="26" spans="1:11" x14ac:dyDescent="0.2">
      <c r="A26" t="s" s="0">
        <v>29</v>
      </c>
      <c r="B26" t="s" s="0">
        <v>30</v>
      </c>
      <c r="C26" s="0">
        <f>_xlfn.XLOOKUP($B26,Sheet2!$B:$B,Sheet2!$C:$C)</f>
        <v>2019</v>
      </c>
      <c r="D26" s="0">
        <v>1455</v>
      </c>
      <c r="E26" s="0">
        <v>150</v>
      </c>
      <c r="F26" s="0">
        <v>275</v>
      </c>
      <c r="G26" s="0">
        <v>8.1</v>
      </c>
      <c r="H26" s="0">
        <v>164</v>
      </c>
      <c r="I26" s="0">
        <v>29682</v>
      </c>
      <c r="J26" t="s" s="0">
        <v>31</v>
      </c>
      <c r="K26" t="s" s="0">
        <v>17</v>
      </c>
    </row>
    <row r="27" spans="1:11" x14ac:dyDescent="0.2">
      <c r="A27" t="s" s="0">
        <v>107</v>
      </c>
      <c r="B27" t="s" s="0">
        <v>108</v>
      </c>
      <c r="C27" s="0">
        <f>_xlfn.XLOOKUP($B27,Sheet2!$B:$B,Sheet2!$C:$C)</f>
        <v>2020</v>
      </c>
      <c r="D27" s="0">
        <v>1541</v>
      </c>
      <c r="E27" s="0">
        <v>150</v>
      </c>
      <c r="F27" s="0">
        <v>250</v>
      </c>
      <c r="G27" s="0">
        <v>9.6999999999999993</v>
      </c>
      <c r="H27" s="0">
        <v>180</v>
      </c>
      <c r="I27" s="0">
        <v>40000</v>
      </c>
      <c r="J27" t="s" s="0">
        <v>31</v>
      </c>
      <c r="K27" t="s" s="0">
        <v>17</v>
      </c>
    </row>
    <row r="28" spans="1:11" x14ac:dyDescent="0.2">
      <c r="A28" t="s" s="0">
        <v>14</v>
      </c>
      <c r="B28" t="s" s="0">
        <v>28</v>
      </c>
      <c r="C28" s="0">
        <f>_xlfn.XLOOKUP($B28,Sheet2!$B:$B,Sheet2!$C:$C)</f>
        <v>2014</v>
      </c>
      <c r="D28" s="0">
        <v>1585</v>
      </c>
      <c r="E28" s="0">
        <v>150</v>
      </c>
      <c r="F28" s="0">
        <v>190</v>
      </c>
      <c r="G28" s="0">
        <v>9.6</v>
      </c>
      <c r="H28" s="0">
        <v>168</v>
      </c>
      <c r="I28" s="0">
        <v>31900</v>
      </c>
      <c r="J28" t="s" s="0">
        <v>16</v>
      </c>
      <c r="K28" t="s" s="0">
        <v>17</v>
      </c>
    </row>
    <row r="29" spans="1:11" x14ac:dyDescent="0.2">
      <c r="A29" t="s" s="0">
        <v>68</v>
      </c>
      <c r="B29" t="s" s="0">
        <v>129</v>
      </c>
      <c r="C29" s="0">
        <f>_xlfn.XLOOKUP($B29,Sheet2!$B:$B,Sheet2!$C:$C)</f>
        <v>2018</v>
      </c>
      <c r="D29" s="0">
        <v>1750</v>
      </c>
      <c r="E29" s="0">
        <v>155</v>
      </c>
      <c r="F29" s="0">
        <v>235</v>
      </c>
      <c r="G29" s="0">
        <v>9.8000000000000007</v>
      </c>
      <c r="H29" s="0">
        <v>167</v>
      </c>
      <c r="I29" s="0">
        <v>34400</v>
      </c>
      <c r="J29" t="s" s="0">
        <v>41</v>
      </c>
      <c r="K29" t="s" s="0">
        <v>25</v>
      </c>
    </row>
    <row r="30" spans="1:11" x14ac:dyDescent="0.2">
      <c r="A30" t="s" s="0">
        <v>68</v>
      </c>
      <c r="B30" t="s" s="0">
        <v>69</v>
      </c>
      <c r="C30" s="0">
        <f>_xlfn.XLOOKUP($B30,Sheet2!$B:$B,Sheet2!$C:$C)</f>
        <v>2018</v>
      </c>
      <c r="D30" s="0">
        <v>1812</v>
      </c>
      <c r="E30" s="0">
        <v>167</v>
      </c>
      <c r="F30" s="0">
        <v>370</v>
      </c>
      <c r="G30" s="0">
        <v>7.8</v>
      </c>
      <c r="H30" s="0">
        <v>173</v>
      </c>
      <c r="I30" s="0">
        <v>38105</v>
      </c>
      <c r="J30" t="s" s="0">
        <v>41</v>
      </c>
      <c r="K30" t="s" s="0">
        <v>25</v>
      </c>
    </row>
    <row r="31" spans="1:11" x14ac:dyDescent="0.2">
      <c r="A31" t="s" s="0">
        <v>37</v>
      </c>
      <c r="B31" t="s" s="0">
        <v>118</v>
      </c>
      <c r="C31" s="0">
        <f>_xlfn.XLOOKUP($B31,Sheet2!$B:$B,Sheet2!$C:$C)</f>
        <v>2014</v>
      </c>
      <c r="D31" s="0">
        <v>1551</v>
      </c>
      <c r="E31" s="0">
        <v>123</v>
      </c>
      <c r="F31" s="0">
        <v>190</v>
      </c>
      <c r="G31" s="0">
        <v>14</v>
      </c>
      <c r="H31" s="0">
        <v>200</v>
      </c>
      <c r="I31" s="0">
        <v>33246</v>
      </c>
      <c r="J31" t="s" s="0">
        <v>24</v>
      </c>
      <c r="K31" t="s" s="0">
        <v>25</v>
      </c>
    </row>
    <row r="32" spans="1:11" x14ac:dyDescent="0.2">
      <c r="A32" t="s" s="0">
        <v>68</v>
      </c>
      <c r="B32" t="s" s="0">
        <v>152</v>
      </c>
      <c r="C32" s="0">
        <f>_xlfn.XLOOKUP($B32,Sheet2!$B:$B,Sheet2!$C:$C)</f>
        <v>2019</v>
      </c>
      <c r="D32" s="0">
        <v>1723</v>
      </c>
      <c r="E32" s="0">
        <v>157</v>
      </c>
      <c r="F32" s="0">
        <v>230</v>
      </c>
      <c r="G32" s="0">
        <v>9.9</v>
      </c>
      <c r="H32" s="0">
        <v>170</v>
      </c>
      <c r="I32" s="0">
        <v>33133</v>
      </c>
      <c r="J32" t="s" s="0">
        <v>41</v>
      </c>
      <c r="K32" t="s" s="0">
        <v>25</v>
      </c>
    </row>
    <row r="33" spans="1:11" x14ac:dyDescent="0.2">
      <c r="A33" t="s" s="0">
        <v>68</v>
      </c>
      <c r="B33" t="s" s="0">
        <v>89</v>
      </c>
      <c r="C33" s="0">
        <f>_xlfn.XLOOKUP($B33,Sheet2!$B:$B,Sheet2!$C:$C)</f>
        <v>2019</v>
      </c>
      <c r="D33" s="0">
        <v>1757</v>
      </c>
      <c r="E33" s="0">
        <v>167</v>
      </c>
      <c r="F33" s="0">
        <v>365</v>
      </c>
      <c r="G33" s="0">
        <v>7.9</v>
      </c>
      <c r="H33" s="0">
        <v>175</v>
      </c>
      <c r="I33" s="0">
        <v>36837</v>
      </c>
      <c r="J33" t="s" s="0">
        <v>41</v>
      </c>
      <c r="K33" t="s" s="0">
        <v>25</v>
      </c>
    </row>
    <row r="34" spans="1:11" x14ac:dyDescent="0.2">
      <c r="A34" t="s" s="0">
        <v>33</v>
      </c>
      <c r="B34" t="s" s="0">
        <v>67</v>
      </c>
      <c r="C34" s="0">
        <f>_xlfn.XLOOKUP($B34,Sheet2!$B:$B,Sheet2!$C:$C)</f>
        <v>2019</v>
      </c>
      <c r="D34" s="0">
        <v>2565</v>
      </c>
      <c r="E34" s="0">
        <v>190</v>
      </c>
      <c r="F34" s="0">
        <v>280</v>
      </c>
      <c r="G34" s="0">
        <v>6.8</v>
      </c>
      <c r="H34" s="0">
        <v>231</v>
      </c>
      <c r="I34" s="0">
        <v>67358</v>
      </c>
      <c r="J34" t="s" s="0">
        <v>16</v>
      </c>
      <c r="K34" t="s" s="0">
        <v>17</v>
      </c>
    </row>
    <row r="35" spans="1:11" x14ac:dyDescent="0.2">
      <c r="A35" t="s" s="0">
        <v>33</v>
      </c>
      <c r="B35" t="s" s="0">
        <v>98</v>
      </c>
      <c r="C35" s="0">
        <f>_xlfn.XLOOKUP($B35,Sheet2!$B:$B,Sheet2!$C:$C)</f>
        <v>2019</v>
      </c>
      <c r="D35" s="0">
        <v>2565</v>
      </c>
      <c r="E35" s="0">
        <v>200</v>
      </c>
      <c r="F35" s="0">
        <v>365</v>
      </c>
      <c r="G35" s="0">
        <v>5.7</v>
      </c>
      <c r="H35" s="0">
        <v>237</v>
      </c>
      <c r="I35" s="0">
        <v>79445</v>
      </c>
      <c r="J35" t="s" s="0">
        <v>16</v>
      </c>
      <c r="K35" t="s" s="0">
        <v>17</v>
      </c>
    </row>
    <row r="36" spans="1:11" x14ac:dyDescent="0.2">
      <c r="A36" t="s" s="0">
        <v>33</v>
      </c>
      <c r="B36" t="s" s="0">
        <v>59</v>
      </c>
      <c r="C36" s="0">
        <f>_xlfn.XLOOKUP($B36,Sheet2!$B:$B,Sheet2!$C:$C)</f>
        <v>2021</v>
      </c>
      <c r="D36" s="0">
        <v>2276</v>
      </c>
      <c r="E36" s="0">
        <v>240</v>
      </c>
      <c r="F36" s="0">
        <v>425</v>
      </c>
      <c r="G36" s="0">
        <v>3.5</v>
      </c>
      <c r="H36" s="0">
        <v>197</v>
      </c>
      <c r="I36" s="0">
        <v>125000</v>
      </c>
      <c r="J36" t="s" s="0">
        <v>16</v>
      </c>
      <c r="K36" t="s" s="0">
        <v>17</v>
      </c>
    </row>
    <row r="37" spans="1:11" x14ac:dyDescent="0.2">
      <c r="A37" t="s" s="0">
        <v>33</v>
      </c>
      <c r="B37" t="s" s="0">
        <v>147</v>
      </c>
      <c r="C37" s="0">
        <f>_xlfn.XLOOKUP($B37,Sheet2!$B:$B,Sheet2!$C:$C)</f>
        <v>2020</v>
      </c>
      <c r="D37" s="0">
        <v>2620</v>
      </c>
      <c r="E37" s="0">
        <v>210</v>
      </c>
      <c r="F37" s="0">
        <v>320</v>
      </c>
      <c r="G37" s="0">
        <v>4.5</v>
      </c>
      <c r="H37" s="0">
        <v>270</v>
      </c>
      <c r="I37" s="0">
        <v>93800</v>
      </c>
      <c r="J37" t="s" s="0">
        <v>16</v>
      </c>
      <c r="K37" t="s" s="0">
        <v>17</v>
      </c>
    </row>
    <row r="38" spans="1:11" x14ac:dyDescent="0.2">
      <c r="A38" t="s" s="0">
        <v>33</v>
      </c>
      <c r="B38" t="s" s="0">
        <v>155</v>
      </c>
      <c r="C38" s="0">
        <f>_xlfn.XLOOKUP($B38,Sheet2!$B:$B,Sheet2!$C:$C)</f>
        <v>2020</v>
      </c>
      <c r="D38" s="0">
        <v>2635</v>
      </c>
      <c r="E38" s="0">
        <v>210</v>
      </c>
      <c r="F38" s="0">
        <v>335</v>
      </c>
      <c r="G38" s="0">
        <v>4.5</v>
      </c>
      <c r="H38" s="0">
        <v>258</v>
      </c>
      <c r="I38" s="0">
        <v>96050</v>
      </c>
      <c r="J38" t="s" s="0">
        <v>16</v>
      </c>
      <c r="K38" t="s" s="0">
        <v>17</v>
      </c>
    </row>
    <row r="39" spans="1:11" x14ac:dyDescent="0.2">
      <c r="A39" t="s" s="0">
        <v>33</v>
      </c>
      <c r="B39" t="s" s="0">
        <v>144</v>
      </c>
      <c r="C39" s="0">
        <f>_xlfn.XLOOKUP($B39,Sheet2!$B:$B,Sheet2!$C:$C)</f>
        <v>2019</v>
      </c>
      <c r="D39" s="0">
        <v>2450</v>
      </c>
      <c r="E39" s="0">
        <v>190</v>
      </c>
      <c r="F39" s="0">
        <v>295</v>
      </c>
      <c r="G39" s="0">
        <v>6.8</v>
      </c>
      <c r="H39" s="0">
        <v>219</v>
      </c>
      <c r="I39" s="0">
        <v>69551</v>
      </c>
      <c r="J39" t="s" s="0">
        <v>16</v>
      </c>
      <c r="K39" t="s" s="0">
        <v>17</v>
      </c>
    </row>
    <row r="40" spans="1:11" x14ac:dyDescent="0.2">
      <c r="A40" t="s" s="0">
        <v>33</v>
      </c>
      <c r="B40" t="s" s="0">
        <v>85</v>
      </c>
      <c r="C40" s="0">
        <f>_xlfn.XLOOKUP($B40,Sheet2!$B:$B,Sheet2!$C:$C)</f>
        <v>2020</v>
      </c>
      <c r="D40" s="0">
        <v>2565</v>
      </c>
      <c r="E40" s="0">
        <v>200</v>
      </c>
      <c r="F40" s="0">
        <v>380</v>
      </c>
      <c r="G40" s="0">
        <v>5.7</v>
      </c>
      <c r="H40" s="0">
        <v>228</v>
      </c>
      <c r="I40" s="0">
        <v>81639</v>
      </c>
      <c r="J40" t="s" s="0">
        <v>16</v>
      </c>
      <c r="K40" t="s" s="0">
        <v>17</v>
      </c>
    </row>
    <row r="41" spans="1:11" x14ac:dyDescent="0.2">
      <c r="A41" t="s" s="0">
        <v>14</v>
      </c>
      <c r="B41" t="s" s="0">
        <v>47</v>
      </c>
      <c r="C41" s="0">
        <f>_xlfn.XLOOKUP($B41,Sheet2!$B:$B,Sheet2!$C:$C)</f>
        <v>2013</v>
      </c>
      <c r="D41" s="0">
        <v>1229</v>
      </c>
      <c r="E41" s="0">
        <v>130</v>
      </c>
      <c r="F41" s="0">
        <v>195</v>
      </c>
      <c r="G41" s="0">
        <v>11.9</v>
      </c>
      <c r="H41" s="0">
        <v>166</v>
      </c>
      <c r="I41" s="0">
        <v>21421</v>
      </c>
      <c r="J41" t="s" s="0">
        <v>16</v>
      </c>
      <c r="K41" t="s" s="0">
        <v>17</v>
      </c>
    </row>
    <row r="42" spans="1:11" x14ac:dyDescent="0.2">
      <c r="A42" t="s" s="0">
        <v>78</v>
      </c>
      <c r="B42" t="s" s="0">
        <v>79</v>
      </c>
      <c r="C42" s="0">
        <f>_xlfn.XLOOKUP($B42,Sheet2!$B:$B,Sheet2!$C:$C)</f>
        <v>2021</v>
      </c>
      <c r="D42" s="0">
        <v>1700</v>
      </c>
      <c r="E42" s="0">
        <v>160</v>
      </c>
      <c r="F42" s="0">
        <v>425</v>
      </c>
      <c r="G42" s="0">
        <v>6.5</v>
      </c>
      <c r="H42" s="0">
        <v>181</v>
      </c>
      <c r="I42" s="0">
        <v>45000</v>
      </c>
      <c r="J42" t="s" s="0">
        <v>80</v>
      </c>
      <c r="K42" t="s" s="0">
        <v>17</v>
      </c>
    </row>
    <row r="43" spans="1:11" x14ac:dyDescent="0.2">
      <c r="A43" t="s" s="0">
        <v>56</v>
      </c>
      <c r="B43" t="s" s="0">
        <v>57</v>
      </c>
      <c r="C43" s="0">
        <f>_xlfn.XLOOKUP($B43,Sheet2!$B:$B,Sheet2!$C:$C)</f>
        <v>2021</v>
      </c>
      <c r="D43" s="0">
        <v>1855</v>
      </c>
      <c r="E43" s="0">
        <v>160</v>
      </c>
      <c r="F43" s="0">
        <v>290</v>
      </c>
      <c r="G43" s="0">
        <v>10</v>
      </c>
      <c r="H43" s="0">
        <v>179</v>
      </c>
      <c r="I43" s="0">
        <v>35000</v>
      </c>
      <c r="J43" t="s" s="0">
        <v>58</v>
      </c>
      <c r="K43" t="s" s="0">
        <v>17</v>
      </c>
    </row>
    <row r="44" spans="1:11" x14ac:dyDescent="0.2">
      <c r="A44" t="s" s="0">
        <v>56</v>
      </c>
      <c r="B44" t="s" s="0">
        <v>146</v>
      </c>
      <c r="C44" s="0">
        <f>_xlfn.XLOOKUP($B44,Sheet2!$B:$B,Sheet2!$C:$C)</f>
        <v>2020</v>
      </c>
      <c r="D44" s="0">
        <v>1865</v>
      </c>
      <c r="E44" s="0">
        <v>160</v>
      </c>
      <c r="F44" s="0">
        <v>320</v>
      </c>
      <c r="G44" s="0">
        <v>9</v>
      </c>
      <c r="H44" s="0">
        <v>181</v>
      </c>
      <c r="I44" s="0">
        <v>37500</v>
      </c>
      <c r="J44" t="s" s="0">
        <v>58</v>
      </c>
      <c r="K44" t="s" s="0">
        <v>17</v>
      </c>
    </row>
    <row r="45" spans="1:11" x14ac:dyDescent="0.2">
      <c r="A45" t="s" s="0">
        <v>56</v>
      </c>
      <c r="B45" t="s" s="0">
        <v>101</v>
      </c>
      <c r="C45" s="0">
        <f>_xlfn.XLOOKUP($B45,Sheet2!$B:$B,Sheet2!$C:$C)</f>
        <v>2020</v>
      </c>
      <c r="D45" s="0">
        <v>2077</v>
      </c>
      <c r="E45" s="0">
        <v>160</v>
      </c>
      <c r="F45" s="0">
        <v>420</v>
      </c>
      <c r="G45" s="0">
        <v>8.8000000000000007</v>
      </c>
      <c r="H45" s="0">
        <v>183</v>
      </c>
      <c r="I45" s="0">
        <v>40000</v>
      </c>
      <c r="J45" t="s" s="0">
        <v>58</v>
      </c>
      <c r="K45" t="s" s="0">
        <v>17</v>
      </c>
    </row>
    <row r="46" spans="1:11" x14ac:dyDescent="0.2">
      <c r="A46" t="s" s="0">
        <v>56</v>
      </c>
      <c r="B46" t="s" s="0">
        <v>123</v>
      </c>
      <c r="C46" s="0">
        <f>_xlfn.XLOOKUP($B46,Sheet2!$B:$B,Sheet2!$C:$C)</f>
        <v>2020</v>
      </c>
      <c r="D46" s="0">
        <v>2221</v>
      </c>
      <c r="E46" s="0">
        <v>160</v>
      </c>
      <c r="F46" s="0">
        <v>400</v>
      </c>
      <c r="G46" s="0">
        <v>7</v>
      </c>
      <c r="H46" s="0">
        <v>193</v>
      </c>
      <c r="I46" s="0">
        <v>45000</v>
      </c>
      <c r="J46" t="s" s="0">
        <v>58</v>
      </c>
      <c r="K46" t="s" s="0">
        <v>17</v>
      </c>
    </row>
    <row r="47" spans="1:11" x14ac:dyDescent="0.2">
      <c r="A47" t="s" s="0">
        <v>56</v>
      </c>
      <c r="B47" t="s" s="0">
        <v>145</v>
      </c>
      <c r="C47" s="0">
        <f>_xlfn.XLOOKUP($B47,Sheet2!$B:$B,Sheet2!$C:$C)</f>
        <v>2021</v>
      </c>
      <c r="D47" s="0">
        <v>2178</v>
      </c>
      <c r="E47" s="0">
        <v>180</v>
      </c>
      <c r="F47" s="0">
        <v>400</v>
      </c>
      <c r="G47" s="0">
        <v>6.2</v>
      </c>
      <c r="H47" s="0">
        <v>193</v>
      </c>
      <c r="I47" s="0">
        <v>47500</v>
      </c>
      <c r="J47" t="s" s="0">
        <v>58</v>
      </c>
      <c r="K47" t="s" s="0">
        <v>17</v>
      </c>
    </row>
    <row r="48" spans="1:11" x14ac:dyDescent="0.2">
      <c r="A48" t="s" s="0">
        <v>131</v>
      </c>
      <c r="B48" t="s" s="0">
        <v>132</v>
      </c>
      <c r="C48" s="0">
        <f>_xlfn.XLOOKUP($B48,Sheet2!$B:$B,Sheet2!$C:$C)</f>
        <v>2017</v>
      </c>
      <c r="D48" s="0">
        <v>1180</v>
      </c>
      <c r="E48" s="0">
        <v>130</v>
      </c>
      <c r="F48" s="0">
        <v>95</v>
      </c>
      <c r="G48" s="0">
        <v>12.7</v>
      </c>
      <c r="H48" s="0">
        <v>176</v>
      </c>
      <c r="I48" s="0">
        <v>22030</v>
      </c>
      <c r="J48" t="s" s="0">
        <v>16</v>
      </c>
      <c r="K48" t="s" s="0">
        <v>17</v>
      </c>
    </row>
    <row r="49" spans="1:11" x14ac:dyDescent="0.2">
      <c r="A49" t="s" s="0">
        <v>131</v>
      </c>
      <c r="B49" t="s" s="0">
        <v>148</v>
      </c>
      <c r="C49" s="0">
        <f>_xlfn.XLOOKUP($B49,Sheet2!$B:$B,Sheet2!$C:$C)</f>
        <v>2016</v>
      </c>
      <c r="D49" s="0">
        <v>1110</v>
      </c>
      <c r="E49" s="0">
        <v>130</v>
      </c>
      <c r="F49" s="0">
        <v>95</v>
      </c>
      <c r="G49" s="0">
        <v>11.9</v>
      </c>
      <c r="H49" s="0">
        <v>176</v>
      </c>
      <c r="I49" s="0">
        <v>24565</v>
      </c>
      <c r="J49" t="s" s="0">
        <v>16</v>
      </c>
      <c r="K49" t="s" s="0">
        <v>17</v>
      </c>
    </row>
    <row r="50" spans="1:11" x14ac:dyDescent="0.2">
      <c r="A50" t="s" s="0">
        <v>131</v>
      </c>
      <c r="B50" t="s" s="0">
        <v>137</v>
      </c>
      <c r="C50" s="0">
        <f>_xlfn.XLOOKUP($B50,Sheet2!$B:$B,Sheet2!$C:$C)</f>
        <v>2016</v>
      </c>
      <c r="D50" s="0">
        <v>1085</v>
      </c>
      <c r="E50" s="0">
        <v>130</v>
      </c>
      <c r="F50" s="0">
        <v>100</v>
      </c>
      <c r="G50" s="0">
        <v>11.6</v>
      </c>
      <c r="H50" s="0">
        <v>167</v>
      </c>
      <c r="I50" s="0">
        <v>21387</v>
      </c>
      <c r="J50" t="s" s="0">
        <v>16</v>
      </c>
      <c r="K50" t="s" s="0">
        <v>17</v>
      </c>
    </row>
    <row r="51" spans="1:11" x14ac:dyDescent="0.2">
      <c r="A51" t="s" s="0">
        <v>35</v>
      </c>
      <c r="B51" t="s" s="0">
        <v>82</v>
      </c>
      <c r="C51" s="0">
        <f>_xlfn.XLOOKUP($B51,Sheet2!$B:$B,Sheet2!$C:$C)</f>
        <v>2021</v>
      </c>
      <c r="D51" s="0">
        <v>2040</v>
      </c>
      <c r="E51" s="0">
        <v>200</v>
      </c>
      <c r="F51" s="0">
        <v>350</v>
      </c>
      <c r="G51" s="0">
        <v>5</v>
      </c>
      <c r="H51" s="0">
        <v>171</v>
      </c>
      <c r="I51" s="0">
        <v>45000</v>
      </c>
      <c r="J51" t="s" s="0">
        <v>16</v>
      </c>
      <c r="K51" t="s" s="0">
        <v>17</v>
      </c>
    </row>
    <row r="52" spans="1:11" x14ac:dyDescent="0.2">
      <c r="A52" t="s" s="0">
        <v>181</v>
      </c>
      <c r="B52" t="s" s="0">
        <v>182</v>
      </c>
      <c r="C52" s="0">
        <v>2022</v>
      </c>
      <c r="D52" s="0">
        <v>2160</v>
      </c>
      <c r="E52" s="0">
        <v>160</v>
      </c>
      <c r="F52" s="0">
        <v>423</v>
      </c>
      <c r="G52" s="0">
        <v>6.2</v>
      </c>
      <c r="H52" s="0">
        <v>200</v>
      </c>
      <c r="I52" s="0">
        <v>55000</v>
      </c>
      <c r="J52" t="s" s="0">
        <v>16</v>
      </c>
      <c r="K52" t="s" s="0">
        <v>17</v>
      </c>
    </row>
    <row r="53" spans="1:11" x14ac:dyDescent="0.2">
      <c r="A53" t="s" s="0">
        <v>35</v>
      </c>
      <c r="B53" t="s" s="0">
        <v>36</v>
      </c>
      <c r="C53" s="0">
        <f>_xlfn.XLOOKUP($B53,Sheet2!$B:$B,Sheet2!$C:$C)</f>
        <v>2019</v>
      </c>
      <c r="D53" s="0">
        <v>2495</v>
      </c>
      <c r="E53" s="0">
        <v>180</v>
      </c>
      <c r="F53" s="0">
        <v>370</v>
      </c>
      <c r="G53" s="0">
        <v>5.0999999999999996</v>
      </c>
      <c r="H53" s="0">
        <v>216</v>
      </c>
      <c r="I53" s="0">
        <v>69484</v>
      </c>
      <c r="J53" t="s" s="0">
        <v>16</v>
      </c>
      <c r="K53" t="s" s="0">
        <v>17</v>
      </c>
    </row>
    <row r="54" spans="1:11" x14ac:dyDescent="0.2">
      <c r="A54" t="s" s="0">
        <v>35</v>
      </c>
      <c r="B54" t="s" s="0">
        <v>168</v>
      </c>
      <c r="C54" s="0">
        <v>2023</v>
      </c>
      <c r="D54" s="0">
        <v>2605</v>
      </c>
      <c r="E54" s="0">
        <v>210</v>
      </c>
      <c r="F54" s="0">
        <v>560</v>
      </c>
      <c r="G54" s="0">
        <v>4.9000000000000004</v>
      </c>
      <c r="H54" s="0">
        <v>180</v>
      </c>
      <c r="I54" s="0">
        <v>76000</v>
      </c>
      <c r="J54" t="s" s="0">
        <v>16</v>
      </c>
      <c r="K54" t="s" s="0">
        <v>17</v>
      </c>
    </row>
    <row r="55" spans="1:11" x14ac:dyDescent="0.2">
      <c r="A55" t="s" s="0">
        <v>35</v>
      </c>
      <c r="B55" t="s" s="0">
        <v>139</v>
      </c>
      <c r="C55" s="0">
        <f>_xlfn.XLOOKUP($B55,Sheet2!$B:$B,Sheet2!$C:$C)</f>
        <v>2020</v>
      </c>
      <c r="D55" s="0">
        <v>3170</v>
      </c>
      <c r="E55" s="0">
        <v>140</v>
      </c>
      <c r="F55" s="0">
        <v>330</v>
      </c>
      <c r="G55" s="0">
        <v>10</v>
      </c>
      <c r="H55" s="0">
        <v>273</v>
      </c>
      <c r="I55" s="0">
        <v>70631</v>
      </c>
      <c r="J55" t="s" s="0">
        <v>16</v>
      </c>
      <c r="K55" t="s" s="0">
        <v>17</v>
      </c>
    </row>
    <row r="56" spans="1:11" x14ac:dyDescent="0.2">
      <c r="A56" t="s" s="0">
        <v>68</v>
      </c>
      <c r="B56" t="s" s="0">
        <v>165</v>
      </c>
      <c r="C56" s="0">
        <v>2023</v>
      </c>
      <c r="D56" s="0">
        <v>2500</v>
      </c>
      <c r="E56" s="0">
        <v>185</v>
      </c>
      <c r="F56" s="0">
        <v>500</v>
      </c>
      <c r="G56" s="0">
        <v>5.2</v>
      </c>
      <c r="H56" s="0">
        <v>200</v>
      </c>
      <c r="I56" s="0">
        <v>70000</v>
      </c>
      <c r="J56" t="s" s="0">
        <v>41</v>
      </c>
      <c r="K56" t="s" s="0">
        <v>25</v>
      </c>
    </row>
    <row r="57" spans="1:11" x14ac:dyDescent="0.2">
      <c r="A57" t="s" s="0">
        <v>113</v>
      </c>
      <c r="B57" t="s" s="0">
        <v>114</v>
      </c>
      <c r="C57" s="0">
        <f>_xlfn.XLOOKUP($B57,Sheet2!$B:$B,Sheet2!$C:$C)</f>
        <v>2018</v>
      </c>
      <c r="D57" s="0">
        <v>2208</v>
      </c>
      <c r="E57" s="0">
        <v>200</v>
      </c>
      <c r="F57" s="0">
        <v>365</v>
      </c>
      <c r="G57" s="0">
        <v>4.8</v>
      </c>
      <c r="H57" s="0">
        <v>232</v>
      </c>
      <c r="I57" s="0">
        <v>75351</v>
      </c>
      <c r="J57" t="s" s="0">
        <v>50</v>
      </c>
      <c r="K57" t="s" s="0">
        <v>17</v>
      </c>
    </row>
    <row r="58" spans="1:11" x14ac:dyDescent="0.2">
      <c r="A58" t="s" s="0">
        <v>20</v>
      </c>
      <c r="B58" t="s" s="0">
        <v>65</v>
      </c>
      <c r="C58" s="0">
        <f>_xlfn.XLOOKUP($B58,Sheet2!$B:$B,Sheet2!$C:$C)</f>
        <v>2018</v>
      </c>
      <c r="D58" s="0">
        <v>1365</v>
      </c>
      <c r="E58" s="0">
        <v>150</v>
      </c>
      <c r="F58" s="0">
        <v>235</v>
      </c>
      <c r="G58" s="0">
        <v>7.3</v>
      </c>
      <c r="H58" s="0">
        <v>161</v>
      </c>
      <c r="I58" s="0">
        <v>38017</v>
      </c>
      <c r="J58" t="s" s="0">
        <v>16</v>
      </c>
      <c r="K58" t="s" s="0">
        <v>17</v>
      </c>
    </row>
    <row r="59" spans="1:11" x14ac:dyDescent="0.2">
      <c r="A59" t="s" s="0">
        <v>20</v>
      </c>
      <c r="B59" t="s" s="0">
        <v>122</v>
      </c>
      <c r="C59" s="0">
        <f>_xlfn.XLOOKUP($B59,Sheet2!$B:$B,Sheet2!$C:$C)</f>
        <v>2018</v>
      </c>
      <c r="D59" s="0">
        <v>1345</v>
      </c>
      <c r="E59" s="0">
        <v>160</v>
      </c>
      <c r="F59" s="0">
        <v>230</v>
      </c>
      <c r="G59" s="0">
        <v>6.9</v>
      </c>
      <c r="H59" s="0">
        <v>165</v>
      </c>
      <c r="I59" s="0">
        <v>41526</v>
      </c>
      <c r="J59" t="s" s="0">
        <v>16</v>
      </c>
      <c r="K59" t="s" s="0">
        <v>17</v>
      </c>
    </row>
    <row r="60" spans="1:11" x14ac:dyDescent="0.2">
      <c r="A60" t="s" s="0">
        <v>20</v>
      </c>
      <c r="B60" t="s" s="0">
        <v>42</v>
      </c>
      <c r="C60" s="0">
        <f>_xlfn.XLOOKUP($B60,Sheet2!$B:$B,Sheet2!$C:$C)</f>
        <v>2021</v>
      </c>
      <c r="D60" s="0">
        <v>2290</v>
      </c>
      <c r="E60" s="0">
        <v>200</v>
      </c>
      <c r="F60" s="0">
        <v>450</v>
      </c>
      <c r="G60" s="0">
        <v>4</v>
      </c>
      <c r="H60" s="0">
        <v>178</v>
      </c>
      <c r="I60" s="0">
        <v>65000</v>
      </c>
      <c r="J60" t="s" s="0">
        <v>16</v>
      </c>
      <c r="K60" t="s" s="0">
        <v>17</v>
      </c>
    </row>
    <row r="61" spans="1:11" x14ac:dyDescent="0.2">
      <c r="A61" t="s" s="0">
        <v>20</v>
      </c>
      <c r="B61" t="s" s="0">
        <v>42</v>
      </c>
      <c r="C61" s="0">
        <v>2022</v>
      </c>
      <c r="D61" s="0">
        <v>2290</v>
      </c>
      <c r="E61" s="0">
        <v>190</v>
      </c>
      <c r="F61" s="0">
        <v>520</v>
      </c>
      <c r="G61" s="0">
        <v>3.9</v>
      </c>
      <c r="H61" s="0">
        <v>180</v>
      </c>
      <c r="I61" s="0">
        <v>58300</v>
      </c>
      <c r="J61" t="s" s="0">
        <v>16</v>
      </c>
      <c r="K61" t="s" s="0">
        <v>17</v>
      </c>
    </row>
    <row r="62" spans="1:11" x14ac:dyDescent="0.2">
      <c r="A62" t="s" s="0">
        <v>20</v>
      </c>
      <c r="B62" t="s" s="0">
        <v>164</v>
      </c>
      <c r="C62" s="0">
        <v>2023</v>
      </c>
      <c r="D62" s="0">
        <v>2675</v>
      </c>
      <c r="E62" s="0">
        <v>240</v>
      </c>
      <c r="F62" s="0">
        <v>625</v>
      </c>
      <c r="G62" s="0">
        <v>4.7</v>
      </c>
      <c r="H62" s="0">
        <v>206</v>
      </c>
      <c r="I62" s="0">
        <v>135000</v>
      </c>
      <c r="J62" t="s" s="0">
        <v>16</v>
      </c>
      <c r="K62" t="s" s="0">
        <v>17</v>
      </c>
    </row>
    <row r="63" spans="1:11" x14ac:dyDescent="0.2">
      <c r="A63" t="s" s="0">
        <v>14</v>
      </c>
      <c r="B63" t="s" s="0">
        <v>135</v>
      </c>
      <c r="C63" s="0">
        <f>_xlfn.XLOOKUP($B63,Sheet2!$B:$B,Sheet2!$C:$C)</f>
        <v>2020</v>
      </c>
      <c r="D63" s="0">
        <v>1719</v>
      </c>
      <c r="E63" s="0">
        <v>160</v>
      </c>
      <c r="F63" s="0">
        <v>340</v>
      </c>
      <c r="G63" s="0">
        <v>7.3</v>
      </c>
      <c r="H63" s="0">
        <v>171</v>
      </c>
      <c r="I63" s="0">
        <v>38987</v>
      </c>
      <c r="J63" t="s" s="0">
        <v>16</v>
      </c>
      <c r="K63" t="s" s="0">
        <v>17</v>
      </c>
    </row>
    <row r="64" spans="1:11" x14ac:dyDescent="0.2">
      <c r="A64" t="s" s="0">
        <v>14</v>
      </c>
      <c r="B64" t="s" s="0">
        <v>62</v>
      </c>
      <c r="C64" s="0">
        <f>_xlfn.XLOOKUP($B64,Sheet2!$B:$B,Sheet2!$C:$C)</f>
        <v>2020</v>
      </c>
      <c r="D64" s="0">
        <v>1720</v>
      </c>
      <c r="E64" s="0">
        <v>160</v>
      </c>
      <c r="F64" s="0">
        <v>350</v>
      </c>
      <c r="G64" s="0">
        <v>9</v>
      </c>
      <c r="H64" s="0">
        <v>166</v>
      </c>
      <c r="I64" s="0">
        <v>33000</v>
      </c>
      <c r="J64" t="s" s="0">
        <v>16</v>
      </c>
      <c r="K64" t="s" s="0">
        <v>17</v>
      </c>
    </row>
    <row r="65" spans="1:11" x14ac:dyDescent="0.2">
      <c r="A65" t="s" s="0">
        <v>14</v>
      </c>
      <c r="B65" t="s" s="0">
        <v>151</v>
      </c>
      <c r="C65" s="0">
        <f>_xlfn.XLOOKUP($B65,Sheet2!$B:$B,Sheet2!$C:$C)</f>
        <v>2020</v>
      </c>
      <c r="D65" s="0">
        <v>1720</v>
      </c>
      <c r="E65" s="0">
        <v>160</v>
      </c>
      <c r="F65" s="0">
        <v>340</v>
      </c>
      <c r="G65" s="0">
        <v>7.3</v>
      </c>
      <c r="H65" s="0">
        <v>171</v>
      </c>
      <c r="I65" s="0">
        <v>35575</v>
      </c>
      <c r="J65" t="s" s="0">
        <v>16</v>
      </c>
      <c r="K65" t="s" s="0">
        <v>17</v>
      </c>
    </row>
    <row r="66" spans="1:11" x14ac:dyDescent="0.2">
      <c r="A66" t="s" s="0">
        <v>14</v>
      </c>
      <c r="B66" t="s" s="0">
        <v>44</v>
      </c>
      <c r="C66" s="0">
        <f>_xlfn.XLOOKUP($B66,Sheet2!$B:$B,Sheet2!$C:$C)</f>
        <v>2020</v>
      </c>
      <c r="D66" s="0">
        <v>1945</v>
      </c>
      <c r="E66" s="0">
        <v>160</v>
      </c>
      <c r="F66" s="0">
        <v>440</v>
      </c>
      <c r="G66" s="0">
        <v>7.9</v>
      </c>
      <c r="H66" s="0">
        <v>175</v>
      </c>
      <c r="I66" s="0">
        <v>40936</v>
      </c>
      <c r="J66" t="s" s="0">
        <v>16</v>
      </c>
      <c r="K66" t="s" s="0">
        <v>17</v>
      </c>
    </row>
    <row r="67" spans="1:11" x14ac:dyDescent="0.2">
      <c r="A67" t="s" s="0">
        <v>14</v>
      </c>
      <c r="B67" t="s" s="0">
        <v>15</v>
      </c>
      <c r="C67" s="0">
        <f>_xlfn.XLOOKUP($B67,Sheet2!$B:$B,Sheet2!$C:$C)</f>
        <v>2020</v>
      </c>
      <c r="D67" s="0">
        <v>1719</v>
      </c>
      <c r="E67" s="0">
        <v>160</v>
      </c>
      <c r="F67" s="0">
        <v>270</v>
      </c>
      <c r="G67" s="0">
        <v>10</v>
      </c>
      <c r="H67" s="0">
        <v>167</v>
      </c>
      <c r="I67" s="0">
        <v>30000</v>
      </c>
      <c r="J67" t="s" s="0">
        <v>16</v>
      </c>
      <c r="K67" t="s" s="0">
        <v>17</v>
      </c>
    </row>
    <row r="68" spans="1:11" x14ac:dyDescent="0.2">
      <c r="A68" t="s" s="0">
        <v>14</v>
      </c>
      <c r="B68" t="s" s="0">
        <v>61</v>
      </c>
      <c r="C68" s="0">
        <f>_xlfn.XLOOKUP($B68,Sheet2!$B:$B,Sheet2!$C:$C)</f>
        <v>2020</v>
      </c>
      <c r="D68" s="0">
        <v>2108</v>
      </c>
      <c r="E68" s="0">
        <v>160</v>
      </c>
      <c r="F68" s="0">
        <v>420</v>
      </c>
      <c r="G68" s="0">
        <v>7.5</v>
      </c>
      <c r="H68" s="0">
        <v>183</v>
      </c>
      <c r="I68" s="0">
        <v>45000</v>
      </c>
      <c r="J68" t="s" s="0">
        <v>16</v>
      </c>
      <c r="K68" t="s" s="0">
        <v>17</v>
      </c>
    </row>
    <row r="69" spans="1:11" x14ac:dyDescent="0.2">
      <c r="A69" t="s" s="0">
        <v>14</v>
      </c>
      <c r="B69" t="s" s="0">
        <v>169</v>
      </c>
      <c r="C69" s="0">
        <v>2023</v>
      </c>
      <c r="D69" s="0">
        <v>2100</v>
      </c>
      <c r="E69" s="0">
        <v>180</v>
      </c>
      <c r="F69" s="0">
        <v>700</v>
      </c>
      <c r="G69" s="0">
        <v>5</v>
      </c>
      <c r="H69" s="0">
        <v>157</v>
      </c>
      <c r="I69" s="0">
        <v>55000</v>
      </c>
      <c r="J69" t="s" s="0">
        <v>16</v>
      </c>
      <c r="K69" t="s" s="0">
        <v>17</v>
      </c>
    </row>
    <row r="70" spans="1:11" x14ac:dyDescent="0.2">
      <c r="A70" t="s" s="0">
        <v>39</v>
      </c>
      <c r="B70" t="s" s="0">
        <v>177</v>
      </c>
      <c r="C70" s="0">
        <v>2022</v>
      </c>
      <c r="D70" s="0">
        <v>2015</v>
      </c>
      <c r="E70" s="0">
        <v>185</v>
      </c>
      <c r="F70" s="0">
        <v>481</v>
      </c>
      <c r="G70" s="0">
        <v>5.2</v>
      </c>
      <c r="H70" s="0">
        <v>190</v>
      </c>
      <c r="I70" s="0">
        <v>46000</v>
      </c>
      <c r="J70" t="s" s="0">
        <v>41</v>
      </c>
      <c r="K70" t="s" s="0">
        <v>25</v>
      </c>
    </row>
    <row r="71" spans="1:11" x14ac:dyDescent="0.2">
      <c r="A71" t="s" s="0">
        <v>39</v>
      </c>
      <c r="B71" t="s" s="0">
        <v>163</v>
      </c>
      <c r="C71" s="0">
        <v>2023</v>
      </c>
      <c r="D71" s="0">
        <v>2010</v>
      </c>
      <c r="E71" s="0">
        <v>185</v>
      </c>
      <c r="F71" s="0">
        <v>614</v>
      </c>
      <c r="G71" s="0">
        <v>5.0999999999999996</v>
      </c>
      <c r="H71" s="0">
        <v>160</v>
      </c>
      <c r="I71" s="0">
        <v>47000</v>
      </c>
      <c r="J71" t="s" s="0">
        <v>41</v>
      </c>
      <c r="K71" t="s" s="0">
        <v>25</v>
      </c>
    </row>
    <row r="72" spans="1:11" x14ac:dyDescent="0.2">
      <c r="A72" t="s" s="0">
        <v>39</v>
      </c>
      <c r="B72" t="s" s="0">
        <v>43</v>
      </c>
      <c r="C72" s="0">
        <f>_xlfn.XLOOKUP($B72,Sheet2!$B:$B,Sheet2!$C:$C)</f>
        <v>2016</v>
      </c>
      <c r="D72" s="0">
        <v>1529</v>
      </c>
      <c r="E72" s="0">
        <v>165</v>
      </c>
      <c r="F72" s="0">
        <v>250</v>
      </c>
      <c r="G72" s="0">
        <v>9.6999999999999993</v>
      </c>
      <c r="H72" s="0">
        <v>153</v>
      </c>
      <c r="I72" s="0">
        <v>34459</v>
      </c>
      <c r="J72" t="s" s="0">
        <v>41</v>
      </c>
      <c r="K72" t="s" s="0">
        <v>25</v>
      </c>
    </row>
    <row r="73" spans="1:11" x14ac:dyDescent="0.2">
      <c r="A73" t="s" s="0">
        <v>20</v>
      </c>
      <c r="B73" t="s" s="0">
        <v>178</v>
      </c>
      <c r="C73" s="0">
        <v>2022</v>
      </c>
      <c r="D73" s="0">
        <v>2510</v>
      </c>
      <c r="E73" s="0">
        <v>200</v>
      </c>
      <c r="F73" s="0">
        <v>630</v>
      </c>
      <c r="G73" s="0">
        <v>4.5999999999999996</v>
      </c>
      <c r="H73" s="0">
        <v>196</v>
      </c>
      <c r="I73" s="0">
        <v>77300</v>
      </c>
      <c r="J73" t="s" s="0">
        <v>16</v>
      </c>
      <c r="K73" t="s" s="0">
        <v>17</v>
      </c>
    </row>
    <row r="74" spans="1:11" x14ac:dyDescent="0.2">
      <c r="A74" t="s" s="0">
        <v>20</v>
      </c>
      <c r="B74" t="s" s="0">
        <v>21</v>
      </c>
      <c r="C74" s="0">
        <f>_xlfn.XLOOKUP($B74,Sheet2!$B:$B,Sheet2!$C:$C)</f>
        <v>2020</v>
      </c>
      <c r="D74" s="0">
        <v>2260</v>
      </c>
      <c r="E74" s="0">
        <v>180</v>
      </c>
      <c r="F74" s="0">
        <v>360</v>
      </c>
      <c r="G74" s="0">
        <v>6.8</v>
      </c>
      <c r="H74" s="0">
        <v>206</v>
      </c>
      <c r="I74" s="0">
        <v>68040</v>
      </c>
      <c r="J74" t="s" s="0">
        <v>16</v>
      </c>
      <c r="K74" t="s" s="0">
        <v>17</v>
      </c>
    </row>
    <row r="75" spans="1:11" x14ac:dyDescent="0.2">
      <c r="A75" t="s" s="0">
        <v>70</v>
      </c>
      <c r="B75" t="s" s="0">
        <v>120</v>
      </c>
      <c r="C75" s="0">
        <f>_xlfn.XLOOKUP($B75,Sheet2!$B:$B,Sheet2!$C:$C)</f>
        <v>2017</v>
      </c>
      <c r="D75" s="0">
        <v>1588</v>
      </c>
      <c r="E75" s="0">
        <v>130</v>
      </c>
      <c r="F75" s="0">
        <v>160</v>
      </c>
      <c r="G75" s="0">
        <v>22.4</v>
      </c>
      <c r="H75" s="0">
        <v>194</v>
      </c>
      <c r="I75" s="0">
        <v>38000</v>
      </c>
      <c r="J75" t="s" s="0">
        <v>31</v>
      </c>
      <c r="K75" t="s" s="0">
        <v>17</v>
      </c>
    </row>
    <row r="76" spans="1:11" x14ac:dyDescent="0.2">
      <c r="A76" t="s" s="0">
        <v>39</v>
      </c>
      <c r="B76" t="s" s="0">
        <v>84</v>
      </c>
      <c r="C76" s="0">
        <f>_xlfn.XLOOKUP($B76,Sheet2!$B:$B,Sheet2!$C:$C)</f>
        <v>2018</v>
      </c>
      <c r="D76" s="0">
        <v>1535</v>
      </c>
      <c r="E76" s="0">
        <v>155</v>
      </c>
      <c r="F76" s="0">
        <v>255</v>
      </c>
      <c r="G76" s="0">
        <v>9.9</v>
      </c>
      <c r="H76" s="0">
        <v>154</v>
      </c>
      <c r="I76" s="0">
        <v>33971</v>
      </c>
      <c r="J76" t="s" s="0">
        <v>41</v>
      </c>
      <c r="K76" t="s" s="0">
        <v>25</v>
      </c>
    </row>
    <row r="77" spans="1:11" x14ac:dyDescent="0.2">
      <c r="A77" t="s" s="0">
        <v>39</v>
      </c>
      <c r="B77" t="s" s="0">
        <v>40</v>
      </c>
      <c r="C77" s="0">
        <f>_xlfn.XLOOKUP($B77,Sheet2!$B:$B,Sheet2!$C:$C)</f>
        <v>2018</v>
      </c>
      <c r="D77" s="0">
        <v>1735</v>
      </c>
      <c r="E77" s="0">
        <v>167</v>
      </c>
      <c r="F77" s="0">
        <v>400</v>
      </c>
      <c r="G77" s="0">
        <v>7.9</v>
      </c>
      <c r="H77" s="0">
        <v>160</v>
      </c>
      <c r="I77" s="0">
        <v>40795</v>
      </c>
      <c r="J77" t="s" s="0">
        <v>41</v>
      </c>
      <c r="K77" t="s" s="0">
        <v>25</v>
      </c>
    </row>
    <row r="78" spans="1:11" x14ac:dyDescent="0.2">
      <c r="A78" t="s" s="0">
        <v>37</v>
      </c>
      <c r="B78" t="s" s="0">
        <v>38</v>
      </c>
      <c r="C78" s="0">
        <f>_xlfn.XLOOKUP($B78,Sheet2!$B:$B,Sheet2!$C:$C)</f>
        <v>2010</v>
      </c>
      <c r="D78" s="0">
        <v>1580</v>
      </c>
      <c r="E78" s="0">
        <v>144</v>
      </c>
      <c r="F78" s="0">
        <v>220</v>
      </c>
      <c r="G78" s="0">
        <v>7.9</v>
      </c>
      <c r="H78" s="0">
        <v>164</v>
      </c>
      <c r="I78" s="0">
        <v>29234</v>
      </c>
      <c r="J78" t="s" s="0">
        <v>24</v>
      </c>
      <c r="K78" t="s" s="0">
        <v>25</v>
      </c>
    </row>
    <row r="79" spans="1:11" x14ac:dyDescent="0.2">
      <c r="A79" t="s" s="0">
        <v>37</v>
      </c>
      <c r="B79" t="s" s="0">
        <v>75</v>
      </c>
      <c r="C79" s="0">
        <f>_xlfn.XLOOKUP($B79,Sheet2!$B:$B,Sheet2!$C:$C)</f>
        <v>2019</v>
      </c>
      <c r="D79" s="0">
        <v>1735</v>
      </c>
      <c r="E79" s="0">
        <v>157</v>
      </c>
      <c r="F79" s="0">
        <v>325</v>
      </c>
      <c r="G79" s="0">
        <v>7.3</v>
      </c>
      <c r="H79" s="0">
        <v>172</v>
      </c>
      <c r="I79" s="0">
        <v>37237</v>
      </c>
      <c r="J79" t="s" s="0">
        <v>24</v>
      </c>
      <c r="K79" t="s" s="0">
        <v>25</v>
      </c>
    </row>
    <row r="80" spans="1:11" x14ac:dyDescent="0.2">
      <c r="A80" t="s" s="0">
        <v>175</v>
      </c>
      <c r="B80" t="s" s="0">
        <v>176</v>
      </c>
      <c r="C80" s="0">
        <v>2022</v>
      </c>
      <c r="D80" s="0">
        <v>2544</v>
      </c>
      <c r="E80" s="0">
        <v>190</v>
      </c>
      <c r="F80" s="0">
        <v>502</v>
      </c>
      <c r="G80" s="0">
        <v>4.5999999999999996</v>
      </c>
      <c r="H80" s="0">
        <v>197</v>
      </c>
      <c r="I80" s="0">
        <v>60000</v>
      </c>
      <c r="J80" t="s" s="0">
        <v>12</v>
      </c>
      <c r="K80" t="s" s="0">
        <v>13</v>
      </c>
    </row>
    <row r="81" spans="1:11" x14ac:dyDescent="0.2">
      <c r="A81" t="s" s="0">
        <v>125</v>
      </c>
      <c r="B81" t="s" s="0">
        <v>126</v>
      </c>
      <c r="C81" s="0">
        <v>2024</v>
      </c>
      <c r="D81" s="0">
        <v>2400</v>
      </c>
      <c r="E81" s="0">
        <v>190</v>
      </c>
      <c r="F81" s="0">
        <v>390</v>
      </c>
      <c r="G81" s="0">
        <v>5.5</v>
      </c>
      <c r="H81" s="0">
        <v>244</v>
      </c>
      <c r="I81" s="0">
        <v>64000</v>
      </c>
      <c r="J81" t="s" s="0">
        <v>97</v>
      </c>
      <c r="K81" t="s" s="0">
        <v>25</v>
      </c>
    </row>
    <row r="82" spans="1:11" x14ac:dyDescent="0.2">
      <c r="A82" t="s" s="0">
        <v>87</v>
      </c>
      <c r="B82" t="s" s="0">
        <v>88</v>
      </c>
      <c r="C82" s="0">
        <f>_xlfn.XLOOKUP($B82,Sheet2!$B:$B,Sheet2!$C:$C)</f>
        <v>2019</v>
      </c>
      <c r="D82" s="0">
        <v>1235</v>
      </c>
      <c r="E82" s="0">
        <v>130</v>
      </c>
      <c r="F82" s="0">
        <v>195</v>
      </c>
      <c r="G82" s="0">
        <v>12.3</v>
      </c>
      <c r="H82" s="0">
        <v>166</v>
      </c>
      <c r="I82" s="0">
        <v>20129</v>
      </c>
      <c r="J82" t="s" s="0">
        <v>80</v>
      </c>
      <c r="K82" t="s" s="0">
        <v>17</v>
      </c>
    </row>
    <row r="83" spans="1:11" x14ac:dyDescent="0.2">
      <c r="A83" t="s" s="0">
        <v>10</v>
      </c>
      <c r="B83" t="s" s="0">
        <v>11</v>
      </c>
      <c r="C83" s="0">
        <f>_xlfn.XLOOKUP($B83,Sheet2!$B:$B,Sheet2!$C:$C)</f>
        <v>2018</v>
      </c>
      <c r="D83" s="0">
        <v>1828</v>
      </c>
      <c r="E83" s="0">
        <v>233</v>
      </c>
      <c r="F83" s="0">
        <v>450</v>
      </c>
      <c r="G83" s="0">
        <v>4.5999999999999996</v>
      </c>
      <c r="H83" s="0">
        <v>161</v>
      </c>
      <c r="I83" s="0">
        <v>55480</v>
      </c>
      <c r="J83" t="s" s="0">
        <v>12</v>
      </c>
      <c r="K83" t="s" s="0">
        <v>13</v>
      </c>
    </row>
    <row r="84" spans="1:11" x14ac:dyDescent="0.2">
      <c r="A84" t="s" s="0">
        <v>10</v>
      </c>
      <c r="B84" t="s" s="0">
        <v>60</v>
      </c>
      <c r="C84" s="0">
        <f>_xlfn.XLOOKUP($B84,Sheet2!$B:$B,Sheet2!$C:$C)</f>
        <v>2018</v>
      </c>
      <c r="D84" s="0">
        <v>1841</v>
      </c>
      <c r="E84" s="0">
        <v>261</v>
      </c>
      <c r="F84" s="0">
        <v>435</v>
      </c>
      <c r="G84" s="0">
        <v>3.4</v>
      </c>
      <c r="H84" s="0">
        <v>167</v>
      </c>
      <c r="I84" s="0">
        <v>61480</v>
      </c>
      <c r="J84" t="s" s="0">
        <v>12</v>
      </c>
      <c r="K84" t="s" s="0">
        <v>13</v>
      </c>
    </row>
    <row r="85" spans="1:11" x14ac:dyDescent="0.2">
      <c r="A85" t="s" s="0">
        <v>10</v>
      </c>
      <c r="B85" t="s" s="0">
        <v>32</v>
      </c>
      <c r="C85" s="0">
        <f>_xlfn.XLOOKUP($B85,Sheet2!$B:$B,Sheet2!$C:$C)</f>
        <v>2019</v>
      </c>
      <c r="D85" s="0">
        <v>1611</v>
      </c>
      <c r="E85" s="0">
        <v>225</v>
      </c>
      <c r="F85" s="0">
        <v>310</v>
      </c>
      <c r="G85" s="0">
        <v>5.6</v>
      </c>
      <c r="H85" s="0">
        <v>153</v>
      </c>
      <c r="I85" s="0">
        <v>46380</v>
      </c>
      <c r="J85" t="s" s="0">
        <v>12</v>
      </c>
      <c r="K85" t="s" s="0">
        <v>13</v>
      </c>
    </row>
    <row r="86" spans="1:11" x14ac:dyDescent="0.2">
      <c r="A86" t="s" s="0">
        <v>10</v>
      </c>
      <c r="B86" t="s" s="0">
        <v>83</v>
      </c>
      <c r="C86" s="0">
        <f>_xlfn.XLOOKUP($B86,Sheet2!$B:$B,Sheet2!$C:$C)</f>
        <v>2021</v>
      </c>
      <c r="D86" s="0">
        <v>2162</v>
      </c>
      <c r="E86" s="0">
        <v>250</v>
      </c>
      <c r="F86" s="0">
        <v>515</v>
      </c>
      <c r="G86" s="0">
        <v>3.8</v>
      </c>
      <c r="H86" s="0">
        <v>184</v>
      </c>
      <c r="I86" s="0">
        <v>79990</v>
      </c>
      <c r="J86" t="s" s="0">
        <v>12</v>
      </c>
      <c r="K86" t="s" s="0">
        <v>13</v>
      </c>
    </row>
    <row r="87" spans="1:11" x14ac:dyDescent="0.2">
      <c r="A87" t="s" s="0">
        <v>10</v>
      </c>
      <c r="B87" t="s" s="0">
        <v>109</v>
      </c>
      <c r="C87" s="0">
        <f>_xlfn.XLOOKUP($B87,Sheet2!$B:$B,Sheet2!$C:$C)</f>
        <v>2021</v>
      </c>
      <c r="D87" s="0">
        <v>2241</v>
      </c>
      <c r="E87" s="0">
        <v>261</v>
      </c>
      <c r="F87" s="0">
        <v>505</v>
      </c>
      <c r="G87" s="0">
        <v>2.5</v>
      </c>
      <c r="H87" s="0">
        <v>188</v>
      </c>
      <c r="I87" s="0">
        <v>96990</v>
      </c>
      <c r="J87" t="s" s="0">
        <v>12</v>
      </c>
      <c r="K87" t="s" s="0">
        <v>13</v>
      </c>
    </row>
    <row r="88" spans="1:11" x14ac:dyDescent="0.2">
      <c r="A88" t="s" s="0">
        <v>10</v>
      </c>
      <c r="B88" t="s" s="0">
        <v>102</v>
      </c>
      <c r="C88" s="0">
        <f>_xlfn.XLOOKUP($B88,Sheet2!$B:$B,Sheet2!$C:$C)</f>
        <v>2016</v>
      </c>
      <c r="D88" s="0">
        <v>2459</v>
      </c>
      <c r="E88" s="0">
        <v>250</v>
      </c>
      <c r="F88" s="0">
        <v>450</v>
      </c>
      <c r="G88" s="0">
        <v>4.5999999999999996</v>
      </c>
      <c r="H88" s="0">
        <v>211</v>
      </c>
      <c r="I88" s="0">
        <v>85990</v>
      </c>
      <c r="J88" t="s" s="0">
        <v>12</v>
      </c>
      <c r="K88" t="s" s="0">
        <v>13</v>
      </c>
    </row>
    <row r="89" spans="1:11" x14ac:dyDescent="0.2">
      <c r="A89" t="s" s="0">
        <v>10</v>
      </c>
      <c r="B89" t="s" s="0">
        <v>136</v>
      </c>
      <c r="C89" s="0">
        <f>_xlfn.XLOOKUP($B89,Sheet2!$B:$B,Sheet2!$C:$C)</f>
        <v>2021</v>
      </c>
      <c r="D89" s="0">
        <v>2539</v>
      </c>
      <c r="E89" s="0">
        <v>250</v>
      </c>
      <c r="F89" s="0">
        <v>440</v>
      </c>
      <c r="G89" s="0">
        <v>2.8</v>
      </c>
      <c r="H89" s="0">
        <v>216</v>
      </c>
      <c r="I89" s="0">
        <v>102990</v>
      </c>
      <c r="J89" t="s" s="0">
        <v>12</v>
      </c>
      <c r="K89" t="s" s="0">
        <v>13</v>
      </c>
    </row>
    <row r="90" spans="1:11" x14ac:dyDescent="0.2">
      <c r="A90" t="s" s="0">
        <v>10</v>
      </c>
      <c r="B90" t="s" s="0">
        <v>55</v>
      </c>
      <c r="C90" s="0">
        <f>_xlfn.XLOOKUP($B90,Sheet2!$B:$B,Sheet2!$C:$C)</f>
        <v>2020</v>
      </c>
      <c r="D90" s="0">
        <v>1935</v>
      </c>
      <c r="E90" s="0">
        <v>217</v>
      </c>
      <c r="F90" s="0">
        <v>425</v>
      </c>
      <c r="G90" s="0">
        <v>5.0999999999999996</v>
      </c>
      <c r="H90" s="0">
        <v>171</v>
      </c>
      <c r="I90" s="0">
        <v>58620</v>
      </c>
      <c r="J90" t="s" s="0">
        <v>12</v>
      </c>
      <c r="K90" t="s" s="0">
        <v>13</v>
      </c>
    </row>
    <row r="91" spans="1:11" x14ac:dyDescent="0.2">
      <c r="A91" t="s" s="0">
        <v>10</v>
      </c>
      <c r="B91" t="s" s="0">
        <v>111</v>
      </c>
      <c r="C91" s="0">
        <f>_xlfn.XLOOKUP($B91,Sheet2!$B:$B,Sheet2!$C:$C)</f>
        <v>2020</v>
      </c>
      <c r="D91" s="0">
        <v>2003</v>
      </c>
      <c r="E91" s="0">
        <v>241</v>
      </c>
      <c r="F91" s="0">
        <v>410</v>
      </c>
      <c r="G91" s="0">
        <v>3.7</v>
      </c>
      <c r="H91" s="0">
        <v>177</v>
      </c>
      <c r="I91" s="0">
        <v>65620</v>
      </c>
      <c r="J91" t="s" s="0">
        <v>12</v>
      </c>
      <c r="K91" t="s" s="0">
        <v>13</v>
      </c>
    </row>
    <row r="92" spans="1:11" x14ac:dyDescent="0.2">
      <c r="A92" t="s" s="0">
        <v>53</v>
      </c>
      <c r="B92" t="s" s="0">
        <v>100</v>
      </c>
      <c r="C92" s="0">
        <f>_xlfn.XLOOKUP($B92,Sheet2!$B:$B,Sheet2!$C:$C)</f>
        <v>2020</v>
      </c>
      <c r="D92" s="0">
        <v>1598</v>
      </c>
      <c r="E92" s="0">
        <v>150</v>
      </c>
      <c r="F92" s="0">
        <v>255</v>
      </c>
      <c r="G92" s="0">
        <v>8.5</v>
      </c>
      <c r="H92" s="0">
        <v>176</v>
      </c>
      <c r="I92" s="0">
        <v>35000</v>
      </c>
      <c r="J92" t="s" s="0">
        <v>16</v>
      </c>
      <c r="K92" t="s" s="0">
        <v>17</v>
      </c>
    </row>
    <row r="93" spans="1:11" x14ac:dyDescent="0.2">
      <c r="A93" t="s" s="0">
        <v>26</v>
      </c>
      <c r="B93" t="s" s="0">
        <v>183</v>
      </c>
      <c r="C93" s="0">
        <v>2023</v>
      </c>
      <c r="D93" s="0">
        <v>2500</v>
      </c>
      <c r="E93" s="0">
        <v>250</v>
      </c>
      <c r="F93" s="0">
        <v>653</v>
      </c>
      <c r="G93" s="0">
        <v>3.1</v>
      </c>
      <c r="H93" s="0">
        <v>160</v>
      </c>
      <c r="I93" s="0">
        <v>90000</v>
      </c>
      <c r="J93" t="s" s="0">
        <v>12</v>
      </c>
      <c r="K93" t="s" s="0">
        <v>13</v>
      </c>
    </row>
    <row r="94" spans="1:11" x14ac:dyDescent="0.2">
      <c r="A94" t="s" s="0">
        <v>115</v>
      </c>
      <c r="B94" t="s" s="0">
        <v>121</v>
      </c>
      <c r="C94" s="0">
        <f>_xlfn.XLOOKUP($B94,Sheet2!$B:$B,Sheet2!$C:$C)</f>
        <v>2020</v>
      </c>
      <c r="D94" s="0">
        <v>2273</v>
      </c>
      <c r="E94" s="0">
        <v>180</v>
      </c>
      <c r="F94" s="0">
        <v>430</v>
      </c>
      <c r="G94" s="0">
        <v>6</v>
      </c>
      <c r="H94" s="0">
        <v>209</v>
      </c>
      <c r="I94" s="0">
        <v>62900</v>
      </c>
      <c r="J94" t="s" s="0">
        <v>12</v>
      </c>
      <c r="K94" t="s" s="0">
        <v>13</v>
      </c>
    </row>
    <row r="95" spans="1:11" x14ac:dyDescent="0.2">
      <c r="A95" t="s" s="0">
        <v>115</v>
      </c>
      <c r="B95" t="s" s="0">
        <v>116</v>
      </c>
      <c r="C95" s="0">
        <f>_xlfn.XLOOKUP($B95,Sheet2!$B:$B,Sheet2!$C:$C)</f>
        <v>2020</v>
      </c>
      <c r="D95" s="0">
        <v>2198</v>
      </c>
      <c r="E95" s="0">
        <v>180</v>
      </c>
      <c r="F95" s="0">
        <v>450</v>
      </c>
      <c r="G95" s="0">
        <v>7</v>
      </c>
      <c r="H95" s="0">
        <v>200</v>
      </c>
      <c r="I95" s="0">
        <v>54475</v>
      </c>
      <c r="J95" t="s" s="0">
        <v>12</v>
      </c>
      <c r="K95" t="s" s="0">
        <v>13</v>
      </c>
    </row>
    <row r="96" spans="1:11" x14ac:dyDescent="0.2">
      <c r="A96" t="s" s="0">
        <v>115</v>
      </c>
      <c r="B96" t="s" s="0">
        <v>133</v>
      </c>
      <c r="C96" s="0">
        <f>_xlfn.XLOOKUP($B96,Sheet2!$B:$B,Sheet2!$C:$C)</f>
        <v>2020</v>
      </c>
      <c r="D96" s="0">
        <v>2195</v>
      </c>
      <c r="E96" s="0">
        <v>180</v>
      </c>
      <c r="F96" s="0">
        <v>340</v>
      </c>
      <c r="G96" s="0">
        <v>6</v>
      </c>
      <c r="H96" s="0">
        <v>206</v>
      </c>
      <c r="I96" s="0">
        <v>54000</v>
      </c>
      <c r="J96" t="s" s="0">
        <v>12</v>
      </c>
      <c r="K96" t="s" s="0">
        <v>13</v>
      </c>
    </row>
    <row r="97" spans="1:11" x14ac:dyDescent="0.2">
      <c r="A97" t="s" s="0">
        <v>115</v>
      </c>
      <c r="B97" t="s" s="0">
        <v>138</v>
      </c>
      <c r="C97" s="0">
        <f>_xlfn.XLOOKUP($B97,Sheet2!$B:$B,Sheet2!$C:$C)</f>
        <v>2020</v>
      </c>
      <c r="D97" s="0">
        <v>2182</v>
      </c>
      <c r="E97" s="0">
        <v>180</v>
      </c>
      <c r="F97" s="0">
        <v>360</v>
      </c>
      <c r="G97" s="0">
        <v>6.6</v>
      </c>
      <c r="H97" s="0">
        <v>194</v>
      </c>
      <c r="I97" s="0">
        <v>46900</v>
      </c>
      <c r="J97" t="s" s="0">
        <v>12</v>
      </c>
      <c r="K97" t="s" s="0">
        <v>13</v>
      </c>
    </row>
    <row r="98" spans="1:11" x14ac:dyDescent="0.2">
      <c r="A98" t="s" s="0">
        <v>73</v>
      </c>
      <c r="B98" t="s" s="0">
        <v>74</v>
      </c>
      <c r="C98" s="0">
        <f>_xlfn.XLOOKUP($B98,Sheet2!$B:$B,Sheet2!$C:$C)</f>
        <v>2020</v>
      </c>
      <c r="D98" s="0">
        <v>1645</v>
      </c>
      <c r="E98" s="0">
        <v>150</v>
      </c>
      <c r="F98" s="0">
        <v>180</v>
      </c>
      <c r="G98" s="0">
        <v>9</v>
      </c>
      <c r="H98" s="0">
        <v>178</v>
      </c>
      <c r="I98" s="0">
        <v>32646</v>
      </c>
      <c r="J98" t="s" s="0">
        <v>24</v>
      </c>
      <c r="K98" t="s" s="0">
        <v>25</v>
      </c>
    </row>
    <row r="99" spans="1:11" x14ac:dyDescent="0.2">
      <c r="A99" t="s" s="0">
        <v>68</v>
      </c>
      <c r="B99" t="s" s="0">
        <v>174</v>
      </c>
      <c r="C99" s="0">
        <v>2022</v>
      </c>
      <c r="D99" s="0">
        <v>1812</v>
      </c>
      <c r="E99" s="0">
        <v>167</v>
      </c>
      <c r="F99" s="0">
        <v>463</v>
      </c>
      <c r="G99" s="0">
        <v>7.8</v>
      </c>
      <c r="H99" s="0">
        <v>159</v>
      </c>
      <c r="I99" s="0">
        <v>42000</v>
      </c>
      <c r="J99" t="s" s="0">
        <v>41</v>
      </c>
      <c r="K99" t="s" s="0">
        <v>25</v>
      </c>
    </row>
    <row r="100" spans="1:11" x14ac:dyDescent="0.2">
      <c r="A100" t="s" s="0">
        <v>92</v>
      </c>
      <c r="B100" t="s" s="0">
        <v>93</v>
      </c>
      <c r="C100" s="0">
        <v>2024</v>
      </c>
      <c r="D100" s="0">
        <v>1575</v>
      </c>
      <c r="E100" s="0">
        <v>150</v>
      </c>
      <c r="F100" s="0">
        <v>575</v>
      </c>
      <c r="G100" s="0">
        <v>10</v>
      </c>
      <c r="H100" s="0">
        <v>104</v>
      </c>
      <c r="I100" s="0">
        <v>149000</v>
      </c>
      <c r="J100" t="s" s="0">
        <v>94</v>
      </c>
      <c r="K100" t="s" s="0">
        <v>17</v>
      </c>
    </row>
    <row r="101" spans="1:11" x14ac:dyDescent="0.2">
      <c r="A101" t="s" s="0">
        <v>33</v>
      </c>
      <c r="B101" t="s" s="0">
        <v>34</v>
      </c>
      <c r="C101" s="0">
        <f>_xlfn.XLOOKUP($B101,Sheet2!$B:$B,Sheet2!$C:$C)</f>
        <v>2021</v>
      </c>
      <c r="D101" s="0">
        <v>2135</v>
      </c>
      <c r="E101" s="0">
        <v>180</v>
      </c>
      <c r="F101" s="0">
        <v>400</v>
      </c>
      <c r="G101" s="0">
        <v>6.3</v>
      </c>
      <c r="H101" s="0">
        <v>193</v>
      </c>
      <c r="I101" s="0">
        <v>55000</v>
      </c>
      <c r="J101" t="s" s="0">
        <v>16</v>
      </c>
      <c r="K101" t="s" s="0">
        <v>17</v>
      </c>
    </row>
    <row r="102" spans="1:11" x14ac:dyDescent="0.2">
      <c r="A102" t="s" s="0">
        <v>33</v>
      </c>
      <c r="B102" t="s" s="0">
        <v>130</v>
      </c>
      <c r="C102" s="0">
        <f>_xlfn.XLOOKUP($B102,Sheet2!$B:$B,Sheet2!$C:$C)</f>
        <v>2021</v>
      </c>
      <c r="D102" s="0">
        <v>2135</v>
      </c>
      <c r="E102" s="0">
        <v>180</v>
      </c>
      <c r="F102" s="0">
        <v>410</v>
      </c>
      <c r="G102" s="0">
        <v>6.3</v>
      </c>
      <c r="H102" s="0">
        <v>188</v>
      </c>
      <c r="I102" s="0">
        <v>57500</v>
      </c>
      <c r="J102" t="s" s="0">
        <v>16</v>
      </c>
      <c r="K102" t="s" s="0">
        <v>17</v>
      </c>
    </row>
    <row r="103" spans="1:11" x14ac:dyDescent="0.2">
      <c r="A103" t="s" s="0">
        <v>179</v>
      </c>
      <c r="B103" t="s" s="0">
        <v>180</v>
      </c>
      <c r="C103" s="0">
        <v>2022</v>
      </c>
      <c r="D103" s="0">
        <v>3180</v>
      </c>
      <c r="E103" s="0">
        <v>200</v>
      </c>
      <c r="F103" s="0">
        <v>514</v>
      </c>
      <c r="G103" s="0">
        <v>3</v>
      </c>
      <c r="H103" s="0">
        <v>270</v>
      </c>
      <c r="I103" s="0">
        <v>72000</v>
      </c>
      <c r="J103" t="s" s="0">
        <v>12</v>
      </c>
      <c r="K103" t="s" s="0">
        <v>13</v>
      </c>
    </row>
    <row r="104" spans="1:11" x14ac:dyDescent="0.2">
      <c r="A104" t="s" s="0">
        <v>10</v>
      </c>
      <c r="B104" t="s" s="0">
        <v>99</v>
      </c>
      <c r="C104" s="0">
        <v>2024</v>
      </c>
      <c r="D104" s="0">
        <v>1975</v>
      </c>
      <c r="E104" s="0">
        <v>410</v>
      </c>
      <c r="F104" s="0">
        <v>970</v>
      </c>
      <c r="G104" s="0">
        <v>2.1</v>
      </c>
      <c r="H104" s="0">
        <v>206</v>
      </c>
      <c r="I104" s="0">
        <v>215000</v>
      </c>
      <c r="J104" t="s" s="0">
        <v>12</v>
      </c>
      <c r="K104" t="s" s="0">
        <v>13</v>
      </c>
    </row>
    <row r="105" spans="1:11" x14ac:dyDescent="0.2">
      <c r="A105" t="s" s="0">
        <v>127</v>
      </c>
      <c r="B105" t="s" s="0">
        <v>128</v>
      </c>
      <c r="C105" s="0">
        <f>_xlfn.XLOOKUP($B105,Sheet2!$B:$B,Sheet2!$C:$C)</f>
        <v>2024</v>
      </c>
      <c r="D105" s="0">
        <v>1730</v>
      </c>
      <c r="E105" s="0">
        <v>140</v>
      </c>
      <c r="F105" s="0">
        <v>225</v>
      </c>
      <c r="G105" s="0">
        <v>9</v>
      </c>
      <c r="H105" s="0">
        <v>156</v>
      </c>
      <c r="I105" s="0">
        <v>25500</v>
      </c>
      <c r="J105" t="s" s="0">
        <v>16</v>
      </c>
      <c r="K105" t="s" s="0">
        <v>17</v>
      </c>
    </row>
    <row r="106" spans="1:11" x14ac:dyDescent="0.2">
      <c r="A106" t="s" s="0">
        <v>172</v>
      </c>
      <c r="B106" t="s" s="0">
        <v>173</v>
      </c>
      <c r="C106" s="0">
        <v>2022</v>
      </c>
      <c r="D106" s="0">
        <v>2020</v>
      </c>
      <c r="E106" s="0">
        <v>160</v>
      </c>
      <c r="F106" s="0">
        <v>460</v>
      </c>
      <c r="G106" s="0">
        <v>7.4</v>
      </c>
      <c r="H106" s="0">
        <v>180</v>
      </c>
      <c r="I106" s="0">
        <v>45000</v>
      </c>
      <c r="J106" t="s" s="0">
        <v>24</v>
      </c>
      <c r="K106" t="s" s="0">
        <v>25</v>
      </c>
    </row>
    <row r="107" spans="1:11" x14ac:dyDescent="0.2">
      <c r="A107" t="s" s="0">
        <v>45</v>
      </c>
      <c r="B107" t="s" s="0">
        <v>91</v>
      </c>
      <c r="C107" s="0">
        <f>_xlfn.XLOOKUP($B107,Sheet2!$B:$B,Sheet2!$C:$C)</f>
        <v>2019</v>
      </c>
      <c r="D107" s="0">
        <v>2140</v>
      </c>
      <c r="E107" s="0">
        <v>250</v>
      </c>
      <c r="F107" s="0">
        <v>365</v>
      </c>
      <c r="G107" s="0">
        <v>4</v>
      </c>
      <c r="H107" s="0">
        <v>195</v>
      </c>
      <c r="I107" s="0">
        <v>102945</v>
      </c>
      <c r="J107" t="s" s="0">
        <v>16</v>
      </c>
      <c r="K107" t="s" s="0">
        <v>17</v>
      </c>
    </row>
    <row r="108" spans="1:11" x14ac:dyDescent="0.2">
      <c r="A108" t="s" s="0">
        <v>45</v>
      </c>
      <c r="B108" t="s" s="0">
        <v>117</v>
      </c>
      <c r="C108" s="0">
        <f>_xlfn.XLOOKUP($B108,Sheet2!$B:$B,Sheet2!$C:$C)</f>
        <v>2019</v>
      </c>
      <c r="D108" s="0">
        <v>2140</v>
      </c>
      <c r="E108" s="0">
        <v>250</v>
      </c>
      <c r="F108" s="0">
        <v>425</v>
      </c>
      <c r="G108" s="0">
        <v>4</v>
      </c>
      <c r="H108" s="0">
        <v>197</v>
      </c>
      <c r="I108" s="0">
        <v>109302</v>
      </c>
      <c r="J108" t="s" s="0">
        <v>16</v>
      </c>
      <c r="K108" t="s" s="0">
        <v>17</v>
      </c>
    </row>
    <row r="109" spans="1:11" x14ac:dyDescent="0.2">
      <c r="A109" t="s" s="0">
        <v>45</v>
      </c>
      <c r="B109" t="s" s="0">
        <v>124</v>
      </c>
      <c r="C109" s="0">
        <f>_xlfn.XLOOKUP($B109,Sheet2!$B:$B,Sheet2!$C:$C)</f>
        <v>2021</v>
      </c>
      <c r="D109" s="0">
        <v>2320</v>
      </c>
      <c r="E109" s="0">
        <v>250</v>
      </c>
      <c r="F109" s="0">
        <v>385</v>
      </c>
      <c r="G109" s="0">
        <v>3.5</v>
      </c>
      <c r="H109" s="0">
        <v>217</v>
      </c>
      <c r="I109" s="0">
        <v>150000</v>
      </c>
      <c r="J109" t="s" s="0">
        <v>16</v>
      </c>
      <c r="K109" t="s" s="0">
        <v>17</v>
      </c>
    </row>
    <row r="110" spans="1:11" x14ac:dyDescent="0.2">
      <c r="A110" t="s" s="0">
        <v>45</v>
      </c>
      <c r="B110" t="s" s="0">
        <v>134</v>
      </c>
      <c r="C110" s="0">
        <f>_xlfn.XLOOKUP($B110,Sheet2!$B:$B,Sheet2!$C:$C)</f>
        <v>2019</v>
      </c>
      <c r="D110" s="0">
        <v>2295</v>
      </c>
      <c r="E110" s="0">
        <v>260</v>
      </c>
      <c r="F110" s="0">
        <v>390</v>
      </c>
      <c r="G110" s="0">
        <v>3.2</v>
      </c>
      <c r="H110" s="0">
        <v>215</v>
      </c>
      <c r="I110" s="0">
        <v>148301</v>
      </c>
      <c r="J110" t="s" s="0">
        <v>16</v>
      </c>
      <c r="K110" t="s" s="0">
        <v>17</v>
      </c>
    </row>
    <row r="111" spans="1:11" x14ac:dyDescent="0.2">
      <c r="A111" t="s" s="0">
        <v>45</v>
      </c>
      <c r="B111" t="s" s="0">
        <v>46</v>
      </c>
      <c r="C111" s="0">
        <f>_xlfn.XLOOKUP($B111,Sheet2!$B:$B,Sheet2!$C:$C)</f>
        <v>2019</v>
      </c>
      <c r="D111" s="0">
        <v>2295</v>
      </c>
      <c r="E111" s="0">
        <v>260</v>
      </c>
      <c r="F111" s="0">
        <v>375</v>
      </c>
      <c r="G111" s="0">
        <v>2.8</v>
      </c>
      <c r="H111" s="0">
        <v>223</v>
      </c>
      <c r="I111" s="0">
        <v>180781</v>
      </c>
      <c r="J111" t="s" s="0">
        <v>16</v>
      </c>
      <c r="K111" t="s" s="0">
        <v>17</v>
      </c>
    </row>
    <row r="112" spans="1:11" x14ac:dyDescent="0.2">
      <c r="A112" t="s" s="0">
        <v>70</v>
      </c>
      <c r="B112" t="s" s="0">
        <v>106</v>
      </c>
      <c r="C112" s="0">
        <f>_xlfn.XLOOKUP($B112,Sheet2!$B:$B,Sheet2!$C:$C)</f>
        <v>2020</v>
      </c>
      <c r="D112" s="0">
        <v>1111</v>
      </c>
      <c r="E112" s="0">
        <v>135</v>
      </c>
      <c r="F112" s="0">
        <v>130</v>
      </c>
      <c r="G112" s="0">
        <v>12.6</v>
      </c>
      <c r="H112" s="0">
        <v>164</v>
      </c>
      <c r="I112" s="0">
        <v>24790</v>
      </c>
      <c r="J112" t="s" s="0">
        <v>31</v>
      </c>
      <c r="K112" t="s" s="0">
        <v>17</v>
      </c>
    </row>
    <row r="113" spans="1:11" x14ac:dyDescent="0.2">
      <c r="A113" t="s" s="0">
        <v>95</v>
      </c>
      <c r="B113" t="s" s="0">
        <v>96</v>
      </c>
      <c r="C113" s="0">
        <f>_xlfn.XLOOKUP($B113,Sheet2!$B:$B,Sheet2!$C:$C)</f>
        <v>2020</v>
      </c>
      <c r="D113" s="0">
        <v>1720</v>
      </c>
      <c r="E113" s="0">
        <v>150</v>
      </c>
      <c r="F113" s="0">
        <v>335</v>
      </c>
      <c r="G113" s="0">
        <v>9</v>
      </c>
      <c r="H113" s="0">
        <v>188</v>
      </c>
      <c r="I113" s="0">
        <v>36057</v>
      </c>
      <c r="J113" t="s" s="0">
        <v>97</v>
      </c>
      <c r="K113" t="s" s="0">
        <v>25</v>
      </c>
    </row>
    <row r="114" spans="1:11" x14ac:dyDescent="0.2">
      <c r="A114" t="s" s="0">
        <v>76</v>
      </c>
      <c r="B114" t="s" s="0">
        <v>77</v>
      </c>
      <c r="C114" s="0">
        <f>_xlfn.XLOOKUP($B114,Sheet2!$B:$B,Sheet2!$C:$C)</f>
        <v>2020</v>
      </c>
      <c r="D114" s="0">
        <v>1840</v>
      </c>
      <c r="E114" s="0">
        <v>160</v>
      </c>
      <c r="F114" s="0">
        <v>270</v>
      </c>
      <c r="G114" s="0">
        <v>7.5</v>
      </c>
      <c r="H114" s="0">
        <v>193</v>
      </c>
      <c r="I114" s="0">
        <v>50000</v>
      </c>
      <c r="J114" t="s" s="0">
        <v>24</v>
      </c>
      <c r="K114" t="s" s="0">
        <v>25</v>
      </c>
    </row>
    <row r="115" spans="1:11" x14ac:dyDescent="0.2">
      <c r="A115" t="s" s="0">
        <v>63</v>
      </c>
      <c r="B115" t="s" s="0">
        <v>64</v>
      </c>
      <c r="C115" s="0">
        <f>_xlfn.XLOOKUP($B115,Sheet2!$B:$B,Sheet2!$C:$C)</f>
        <v>2020</v>
      </c>
      <c r="D115" s="0">
        <v>2215</v>
      </c>
      <c r="E115" s="0">
        <v>180</v>
      </c>
      <c r="F115" s="0">
        <v>375</v>
      </c>
      <c r="G115" s="0">
        <v>4.9000000000000004</v>
      </c>
      <c r="H115" s="0">
        <v>200</v>
      </c>
      <c r="I115" s="0">
        <v>60437</v>
      </c>
      <c r="J115" t="s" s="0">
        <v>19</v>
      </c>
      <c r="K115" t="s" s="0">
        <v>17</v>
      </c>
    </row>
    <row r="116" spans="1:11" x14ac:dyDescent="0.2">
      <c r="A116" t="s" s="0">
        <v>70</v>
      </c>
      <c r="B116" t="s" s="0">
        <v>110</v>
      </c>
      <c r="C116" s="0">
        <f>_xlfn.XLOOKUP($B116,Sheet2!$B:$B,Sheet2!$C:$C)</f>
        <v>2017</v>
      </c>
      <c r="D116" s="0">
        <v>1480</v>
      </c>
      <c r="E116" s="0">
        <v>135</v>
      </c>
      <c r="F116" s="0">
        <v>255</v>
      </c>
      <c r="G116" s="0">
        <v>11.4</v>
      </c>
      <c r="H116" s="0">
        <v>161</v>
      </c>
      <c r="I116" s="0">
        <v>29234</v>
      </c>
      <c r="J116" t="s" s="0">
        <v>31</v>
      </c>
      <c r="K116" t="s" s="0">
        <v>17</v>
      </c>
    </row>
    <row r="117" spans="1:11" x14ac:dyDescent="0.2">
      <c r="A117" t="s" s="0">
        <v>70</v>
      </c>
      <c r="B117" t="s" s="0">
        <v>71</v>
      </c>
      <c r="C117" s="0">
        <f>_xlfn.XLOOKUP($B117,Sheet2!$B:$B,Sheet2!$C:$C)</f>
        <v>2019</v>
      </c>
      <c r="D117" s="0">
        <v>1502</v>
      </c>
      <c r="E117" s="0">
        <v>135</v>
      </c>
      <c r="F117" s="0">
        <v>315</v>
      </c>
      <c r="G117" s="0">
        <v>11.4</v>
      </c>
      <c r="H117" s="0">
        <v>165</v>
      </c>
      <c r="I117" s="0">
        <v>31184</v>
      </c>
      <c r="J117" t="s" s="0">
        <v>31</v>
      </c>
      <c r="K117" t="s" s="0">
        <v>17</v>
      </c>
    </row>
    <row r="118" spans="1:11" x14ac:dyDescent="0.2">
      <c r="A118" t="s" s="0">
        <v>70</v>
      </c>
      <c r="B118" t="s" s="0">
        <v>81</v>
      </c>
      <c r="C118" s="0">
        <f>_xlfn.XLOOKUP($B118,Sheet2!$B:$B,Sheet2!$C:$C)</f>
        <v>2019</v>
      </c>
      <c r="D118" s="0">
        <v>1502</v>
      </c>
      <c r="E118" s="0">
        <v>140</v>
      </c>
      <c r="F118" s="0">
        <v>310</v>
      </c>
      <c r="G118" s="0">
        <v>9.5</v>
      </c>
      <c r="H118" s="0">
        <v>168</v>
      </c>
      <c r="I118" s="0">
        <v>33133</v>
      </c>
      <c r="J118" t="s" s="0">
        <v>31</v>
      </c>
      <c r="K118" t="s" s="0">
        <v>17</v>
      </c>
    </row>
    <row r="119" spans="1:11" x14ac:dyDescent="0.2">
      <c r="A119" t="s" s="0">
        <v>48</v>
      </c>
      <c r="B119" t="s" s="0">
        <v>49</v>
      </c>
      <c r="C119" s="0">
        <f>_xlfn.XLOOKUP($B119,Sheet2!$B:$B,Sheet2!$C:$C)</f>
        <v>2019</v>
      </c>
      <c r="D119" s="0">
        <v>1518</v>
      </c>
      <c r="E119" s="0">
        <v>140</v>
      </c>
      <c r="F119" s="0">
        <v>220</v>
      </c>
      <c r="G119" s="0">
        <v>8.1999999999999993</v>
      </c>
      <c r="H119" s="0">
        <v>193</v>
      </c>
      <c r="I119" s="0">
        <v>30000</v>
      </c>
      <c r="J119" t="s" s="0">
        <v>50</v>
      </c>
      <c r="K119" t="s" s="0">
        <v>17</v>
      </c>
    </row>
  </sheetData>
  <sortState xmlns:xlrd2="http://schemas.microsoft.com/office/spreadsheetml/2017/richdata2" ref="A2:K120">
    <sortCondition ref="B32:B120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80F5D-926A-624D-9F9E-1394E999D059}">
  <dimension ref="A1:C102"/>
  <sheetViews>
    <sheetView workbookViewId="0">
      <selection activeCell="D13" sqref="D13"/>
    </sheetView>
  </sheetViews>
  <sheetFormatPr baseColWidth="10" defaultRowHeight="15" x14ac:dyDescent="0.2"/>
  <cols>
    <col min="2" max="2" customWidth="true" width="28.83203125"/>
  </cols>
  <sheetData>
    <row r="1" spans="1:3" x14ac:dyDescent="0.2">
      <c r="A1" t="s" s="0">
        <v>10</v>
      </c>
      <c r="B1" t="s" s="0">
        <v>11</v>
      </c>
      <c r="C1" s="0">
        <v>2018</v>
      </c>
    </row>
    <row r="2" spans="1:3" x14ac:dyDescent="0.2">
      <c r="A2" t="s" s="0">
        <v>14</v>
      </c>
      <c r="B2" t="s" s="0">
        <v>15</v>
      </c>
      <c r="C2" s="0">
        <v>2020</v>
      </c>
    </row>
    <row r="3" spans="1:3" x14ac:dyDescent="0.2">
      <c r="A3" t="s" s="0">
        <v>18</v>
      </c>
      <c r="B3" s="0">
        <v>2</v>
      </c>
      <c r="C3" s="0">
        <v>2020</v>
      </c>
    </row>
    <row r="4" spans="1:3" x14ac:dyDescent="0.2">
      <c r="A4" t="s" s="0">
        <v>20</v>
      </c>
      <c r="B4" t="s" s="0">
        <v>21</v>
      </c>
      <c r="C4" s="0">
        <v>2020</v>
      </c>
    </row>
    <row r="5" spans="1:3" x14ac:dyDescent="0.2">
      <c r="A5" t="s" s="0">
        <v>22</v>
      </c>
      <c r="B5" t="s" s="0">
        <v>23</v>
      </c>
      <c r="C5" s="0">
        <v>2020</v>
      </c>
    </row>
    <row r="6" spans="1:3" x14ac:dyDescent="0.2">
      <c r="A6" t="s" s="0">
        <v>26</v>
      </c>
      <c r="B6" t="s" s="0">
        <v>27</v>
      </c>
      <c r="C6" s="0">
        <v>2021</v>
      </c>
    </row>
    <row r="7" spans="1:3" x14ac:dyDescent="0.2">
      <c r="A7" t="s" s="0">
        <v>14</v>
      </c>
      <c r="B7" t="s" s="0">
        <v>28</v>
      </c>
      <c r="C7" s="0">
        <v>2014</v>
      </c>
    </row>
    <row r="8" spans="1:3" x14ac:dyDescent="0.2">
      <c r="A8" t="s" s="0">
        <v>29</v>
      </c>
      <c r="B8" t="s" s="0">
        <v>30</v>
      </c>
      <c r="C8" s="0">
        <v>2019</v>
      </c>
    </row>
    <row r="9" spans="1:3" x14ac:dyDescent="0.2">
      <c r="A9" t="s" s="0">
        <v>10</v>
      </c>
      <c r="B9" t="s" s="0">
        <v>32</v>
      </c>
      <c r="C9" s="0">
        <v>2019</v>
      </c>
    </row>
    <row r="10" spans="1:3" x14ac:dyDescent="0.2">
      <c r="A10" t="s" s="0">
        <v>33</v>
      </c>
      <c r="B10" t="s" s="0">
        <v>34</v>
      </c>
      <c r="C10" s="0">
        <v>2021</v>
      </c>
    </row>
    <row r="11" spans="1:3" x14ac:dyDescent="0.2">
      <c r="A11" t="s" s="0">
        <v>35</v>
      </c>
      <c r="B11" t="s" s="0">
        <v>36</v>
      </c>
      <c r="C11" s="0">
        <v>2019</v>
      </c>
    </row>
    <row r="12" spans="1:3" x14ac:dyDescent="0.2">
      <c r="A12" t="s" s="0">
        <v>37</v>
      </c>
      <c r="B12" t="s" s="0">
        <v>38</v>
      </c>
      <c r="C12" s="0">
        <v>2010</v>
      </c>
    </row>
    <row r="13" spans="1:3" x14ac:dyDescent="0.2">
      <c r="A13" t="s" s="0">
        <v>39</v>
      </c>
      <c r="B13" t="s" s="0">
        <v>40</v>
      </c>
      <c r="C13" s="0">
        <v>2018</v>
      </c>
    </row>
    <row r="14" spans="1:3" x14ac:dyDescent="0.2">
      <c r="A14" t="s" s="0">
        <v>20</v>
      </c>
      <c r="B14" t="s" s="0">
        <v>42</v>
      </c>
      <c r="C14" s="0">
        <v>2021</v>
      </c>
    </row>
    <row r="15" spans="1:3" x14ac:dyDescent="0.2">
      <c r="A15" t="s" s="0">
        <v>39</v>
      </c>
      <c r="B15" t="s" s="0">
        <v>43</v>
      </c>
      <c r="C15" s="0">
        <v>2016</v>
      </c>
    </row>
    <row r="16" spans="1:3" x14ac:dyDescent="0.2">
      <c r="A16" t="s" s="0">
        <v>14</v>
      </c>
      <c r="B16" t="s" s="0">
        <v>44</v>
      </c>
      <c r="C16" s="0">
        <v>2020</v>
      </c>
    </row>
    <row r="17" spans="1:3" x14ac:dyDescent="0.2">
      <c r="A17" t="s" s="0">
        <v>45</v>
      </c>
      <c r="B17" t="s" s="0">
        <v>46</v>
      </c>
      <c r="C17" s="0">
        <v>2019</v>
      </c>
    </row>
    <row r="18" spans="1:3" x14ac:dyDescent="0.2">
      <c r="A18" t="s" s="0">
        <v>14</v>
      </c>
      <c r="B18" t="s" s="0">
        <v>47</v>
      </c>
      <c r="C18" s="0">
        <v>2013</v>
      </c>
    </row>
    <row r="19" spans="1:3" x14ac:dyDescent="0.2">
      <c r="A19" t="s" s="0">
        <v>48</v>
      </c>
      <c r="B19" t="s" s="0">
        <v>49</v>
      </c>
      <c r="C19" s="0">
        <v>2019</v>
      </c>
    </row>
    <row r="20" spans="1:3" x14ac:dyDescent="0.2">
      <c r="A20" t="s" s="0">
        <v>51</v>
      </c>
      <c r="B20" t="s" s="0">
        <v>52</v>
      </c>
      <c r="C20" s="0">
        <v>2020</v>
      </c>
    </row>
    <row r="21" spans="1:3" x14ac:dyDescent="0.2">
      <c r="A21" t="s" s="0">
        <v>53</v>
      </c>
      <c r="B21" t="s" s="0">
        <v>54</v>
      </c>
      <c r="C21" s="0">
        <v>2019</v>
      </c>
    </row>
    <row r="22" spans="1:3" x14ac:dyDescent="0.2">
      <c r="A22" t="s" s="0">
        <v>10</v>
      </c>
      <c r="B22" t="s" s="0">
        <v>55</v>
      </c>
      <c r="C22" s="0">
        <v>2020</v>
      </c>
    </row>
    <row r="23" spans="1:3" x14ac:dyDescent="0.2">
      <c r="A23" t="s" s="0">
        <v>56</v>
      </c>
      <c r="B23" t="s" s="0">
        <v>57</v>
      </c>
      <c r="C23" s="0">
        <v>2021</v>
      </c>
    </row>
    <row r="24" spans="1:3" x14ac:dyDescent="0.2">
      <c r="A24" t="s" s="0">
        <v>33</v>
      </c>
      <c r="B24" t="s" s="0">
        <v>59</v>
      </c>
      <c r="C24" s="0">
        <v>2021</v>
      </c>
    </row>
    <row r="25" spans="1:3" x14ac:dyDescent="0.2">
      <c r="A25" t="s" s="0">
        <v>10</v>
      </c>
      <c r="B25" t="s" s="0">
        <v>60</v>
      </c>
      <c r="C25" s="0">
        <v>2018</v>
      </c>
    </row>
    <row r="26" spans="1:3" x14ac:dyDescent="0.2">
      <c r="A26" t="s" s="0">
        <v>14</v>
      </c>
      <c r="B26" t="s" s="0">
        <v>61</v>
      </c>
      <c r="C26" s="0">
        <v>2020</v>
      </c>
    </row>
    <row r="27" spans="1:3" x14ac:dyDescent="0.2">
      <c r="A27" t="s" s="0">
        <v>14</v>
      </c>
      <c r="B27" t="s" s="0">
        <v>62</v>
      </c>
      <c r="C27" s="0">
        <v>2020</v>
      </c>
    </row>
    <row r="28" spans="1:3" x14ac:dyDescent="0.2">
      <c r="A28" t="s" s="0">
        <v>63</v>
      </c>
      <c r="B28" t="s" s="0">
        <v>64</v>
      </c>
      <c r="C28" s="0">
        <v>2020</v>
      </c>
    </row>
    <row r="29" spans="1:3" x14ac:dyDescent="0.2">
      <c r="A29" t="s" s="0">
        <v>20</v>
      </c>
      <c r="B29" t="s" s="0">
        <v>65</v>
      </c>
      <c r="C29" s="0">
        <v>2018</v>
      </c>
    </row>
    <row r="30" spans="1:3" x14ac:dyDescent="0.2">
      <c r="A30" t="s" s="0">
        <v>29</v>
      </c>
      <c r="B30" t="s" s="0">
        <v>66</v>
      </c>
      <c r="C30" s="0">
        <v>2020</v>
      </c>
    </row>
    <row r="31" spans="1:3" x14ac:dyDescent="0.2">
      <c r="A31" t="s" s="0">
        <v>33</v>
      </c>
      <c r="B31" t="s" s="0">
        <v>67</v>
      </c>
      <c r="C31" s="0">
        <v>2019</v>
      </c>
    </row>
    <row r="32" spans="1:3" x14ac:dyDescent="0.2">
      <c r="A32" t="s" s="0">
        <v>68</v>
      </c>
      <c r="B32" t="s" s="0">
        <v>69</v>
      </c>
      <c r="C32" s="0">
        <v>2018</v>
      </c>
    </row>
    <row r="33" spans="1:3" x14ac:dyDescent="0.2">
      <c r="A33" t="s" s="0">
        <v>70</v>
      </c>
      <c r="B33" t="s" s="0">
        <v>71</v>
      </c>
      <c r="C33" s="0">
        <v>2019</v>
      </c>
    </row>
    <row r="34" spans="1:3" x14ac:dyDescent="0.2">
      <c r="A34" t="s" s="0">
        <v>10</v>
      </c>
      <c r="B34" t="s" s="0">
        <v>72</v>
      </c>
      <c r="C34" t="s" s="0">
        <v>158</v>
      </c>
    </row>
    <row r="35" spans="1:3" x14ac:dyDescent="0.2">
      <c r="A35" t="s" s="0">
        <v>73</v>
      </c>
      <c r="B35" t="s" s="0">
        <v>74</v>
      </c>
      <c r="C35" s="0">
        <v>2020</v>
      </c>
    </row>
    <row r="36" spans="1:3" x14ac:dyDescent="0.2">
      <c r="A36" t="s" s="0">
        <v>37</v>
      </c>
      <c r="B36" t="s" s="0">
        <v>75</v>
      </c>
      <c r="C36" s="0">
        <v>2019</v>
      </c>
    </row>
    <row r="37" spans="1:3" x14ac:dyDescent="0.2">
      <c r="A37" t="s" s="0">
        <v>76</v>
      </c>
      <c r="B37" t="s" s="0">
        <v>77</v>
      </c>
      <c r="C37" s="0">
        <v>2020</v>
      </c>
    </row>
    <row r="38" spans="1:3" x14ac:dyDescent="0.2">
      <c r="A38" t="s" s="0">
        <v>78</v>
      </c>
      <c r="B38" t="s" s="0">
        <v>79</v>
      </c>
      <c r="C38" s="0">
        <v>2021</v>
      </c>
    </row>
    <row r="39" spans="1:3" x14ac:dyDescent="0.2">
      <c r="A39" t="s" s="0">
        <v>70</v>
      </c>
      <c r="B39" t="s" s="0">
        <v>81</v>
      </c>
      <c r="C39" s="0">
        <v>2019</v>
      </c>
    </row>
    <row r="40" spans="1:3" x14ac:dyDescent="0.2">
      <c r="A40" t="s" s="0">
        <v>35</v>
      </c>
      <c r="B40" t="s" s="0">
        <v>82</v>
      </c>
      <c r="C40" s="0">
        <v>2021</v>
      </c>
    </row>
    <row r="41" spans="1:3" x14ac:dyDescent="0.2">
      <c r="A41" t="s" s="0">
        <v>10</v>
      </c>
      <c r="B41" t="s" s="0">
        <v>83</v>
      </c>
      <c r="C41" s="0">
        <v>2021</v>
      </c>
    </row>
    <row r="42" spans="1:3" x14ac:dyDescent="0.2">
      <c r="A42" t="s" s="0">
        <v>39</v>
      </c>
      <c r="B42" t="s" s="0">
        <v>84</v>
      </c>
      <c r="C42" s="0">
        <v>2018</v>
      </c>
    </row>
    <row r="43" spans="1:3" x14ac:dyDescent="0.2">
      <c r="A43" t="s" s="0">
        <v>33</v>
      </c>
      <c r="B43" t="s" s="0">
        <v>85</v>
      </c>
      <c r="C43" s="0">
        <v>2020</v>
      </c>
    </row>
    <row r="44" spans="1:3" x14ac:dyDescent="0.2">
      <c r="A44" t="s" s="0">
        <v>56</v>
      </c>
      <c r="B44" t="s" s="0">
        <v>86</v>
      </c>
      <c r="C44" s="0">
        <v>2019</v>
      </c>
    </row>
    <row r="45" spans="1:3" x14ac:dyDescent="0.2">
      <c r="A45" t="s" s="0">
        <v>87</v>
      </c>
      <c r="B45" t="s" s="0">
        <v>88</v>
      </c>
      <c r="C45" s="0">
        <v>2019</v>
      </c>
    </row>
    <row r="46" spans="1:3" x14ac:dyDescent="0.2">
      <c r="A46" t="s" s="0">
        <v>68</v>
      </c>
      <c r="B46" t="s" s="0">
        <v>89</v>
      </c>
      <c r="C46" s="0">
        <v>2019</v>
      </c>
    </row>
    <row r="47" spans="1:3" x14ac:dyDescent="0.2">
      <c r="A47" t="s" s="0">
        <v>53</v>
      </c>
      <c r="B47" t="s" s="0">
        <v>90</v>
      </c>
      <c r="C47" s="0">
        <v>2017</v>
      </c>
    </row>
    <row r="48" spans="1:3" x14ac:dyDescent="0.2">
      <c r="A48" t="s" s="0">
        <v>45</v>
      </c>
      <c r="B48" t="s" s="0">
        <v>91</v>
      </c>
      <c r="C48" s="0">
        <v>2019</v>
      </c>
    </row>
    <row r="49" spans="1:3" x14ac:dyDescent="0.2">
      <c r="A49" t="s" s="0">
        <v>92</v>
      </c>
      <c r="B49" t="s" s="0">
        <v>93</v>
      </c>
      <c r="C49" t="s" s="0">
        <v>158</v>
      </c>
    </row>
    <row r="50" spans="1:3" x14ac:dyDescent="0.2">
      <c r="A50" t="s" s="0">
        <v>95</v>
      </c>
      <c r="B50" t="s" s="0">
        <v>96</v>
      </c>
      <c r="C50" s="0">
        <v>2020</v>
      </c>
    </row>
    <row r="51" spans="1:3" x14ac:dyDescent="0.2">
      <c r="A51" t="s" s="0">
        <v>33</v>
      </c>
      <c r="B51" t="s" s="0">
        <v>98</v>
      </c>
      <c r="C51" s="0">
        <v>2019</v>
      </c>
    </row>
    <row r="52" spans="1:3" x14ac:dyDescent="0.2">
      <c r="A52" t="s" s="0">
        <v>10</v>
      </c>
      <c r="B52" t="s" s="0">
        <v>99</v>
      </c>
      <c r="C52" t="s" s="0">
        <v>158</v>
      </c>
    </row>
    <row r="53" spans="1:3" x14ac:dyDescent="0.2">
      <c r="A53" t="s" s="0">
        <v>53</v>
      </c>
      <c r="B53" t="s" s="0">
        <v>100</v>
      </c>
      <c r="C53" s="0">
        <v>2020</v>
      </c>
    </row>
    <row r="54" spans="1:3" x14ac:dyDescent="0.2">
      <c r="A54" t="s" s="0">
        <v>56</v>
      </c>
      <c r="B54" t="s" s="0">
        <v>101</v>
      </c>
      <c r="C54" s="0">
        <v>2020</v>
      </c>
    </row>
    <row r="55" spans="1:3" x14ac:dyDescent="0.2">
      <c r="A55" t="s" s="0">
        <v>10</v>
      </c>
      <c r="B55" t="s" s="0">
        <v>102</v>
      </c>
      <c r="C55" s="0">
        <v>2016</v>
      </c>
    </row>
    <row r="56" spans="1:3" x14ac:dyDescent="0.2">
      <c r="A56" t="s" s="0">
        <v>22</v>
      </c>
      <c r="B56" t="s" s="0">
        <v>103</v>
      </c>
      <c r="C56" s="0">
        <v>2020</v>
      </c>
    </row>
    <row r="57" spans="1:3" x14ac:dyDescent="0.2">
      <c r="A57" t="s" s="0">
        <v>104</v>
      </c>
      <c r="B57" t="s" s="0">
        <v>105</v>
      </c>
      <c r="C57" s="0">
        <v>2019</v>
      </c>
    </row>
    <row r="58" spans="1:3" x14ac:dyDescent="0.2">
      <c r="A58" t="s" s="0">
        <v>70</v>
      </c>
      <c r="B58" t="s" s="0">
        <v>106</v>
      </c>
      <c r="C58" s="0">
        <v>2020</v>
      </c>
    </row>
    <row r="59" spans="1:3" x14ac:dyDescent="0.2">
      <c r="A59" t="s" s="0">
        <v>107</v>
      </c>
      <c r="B59" t="s" s="0">
        <v>108</v>
      </c>
      <c r="C59" s="0">
        <v>2020</v>
      </c>
    </row>
    <row r="60" spans="1:3" x14ac:dyDescent="0.2">
      <c r="A60" t="s" s="0">
        <v>10</v>
      </c>
      <c r="B60" t="s" s="0">
        <v>109</v>
      </c>
      <c r="C60" s="0">
        <v>2021</v>
      </c>
    </row>
    <row r="61" spans="1:3" x14ac:dyDescent="0.2">
      <c r="A61" t="s" s="0">
        <v>70</v>
      </c>
      <c r="B61" t="s" s="0">
        <v>110</v>
      </c>
      <c r="C61" s="0">
        <v>2017</v>
      </c>
    </row>
    <row r="62" spans="1:3" x14ac:dyDescent="0.2">
      <c r="A62" t="s" s="0">
        <v>10</v>
      </c>
      <c r="B62" t="s" s="0">
        <v>111</v>
      </c>
      <c r="C62" s="0">
        <v>2020</v>
      </c>
    </row>
    <row r="63" spans="1:3" x14ac:dyDescent="0.2">
      <c r="A63" t="s" s="0">
        <v>37</v>
      </c>
      <c r="B63" t="s" s="0">
        <v>112</v>
      </c>
      <c r="C63" s="0">
        <v>2021</v>
      </c>
    </row>
    <row r="64" spans="1:3" x14ac:dyDescent="0.2">
      <c r="A64" t="s" s="0">
        <v>113</v>
      </c>
      <c r="B64" t="s" s="0">
        <v>114</v>
      </c>
      <c r="C64" s="0">
        <v>2018</v>
      </c>
    </row>
    <row r="65" spans="1:3" x14ac:dyDescent="0.2">
      <c r="A65" t="s" s="0">
        <v>115</v>
      </c>
      <c r="B65" t="s" s="0">
        <v>116</v>
      </c>
      <c r="C65" s="0">
        <v>2020</v>
      </c>
    </row>
    <row r="66" spans="1:3" x14ac:dyDescent="0.2">
      <c r="A66" t="s" s="0">
        <v>45</v>
      </c>
      <c r="B66" t="s" s="0">
        <v>117</v>
      </c>
      <c r="C66" s="0">
        <v>2019</v>
      </c>
    </row>
    <row r="67" spans="1:3" x14ac:dyDescent="0.2">
      <c r="A67" t="s" s="0">
        <v>37</v>
      </c>
      <c r="B67" t="s" s="0">
        <v>118</v>
      </c>
      <c r="C67" s="0">
        <v>2014</v>
      </c>
    </row>
    <row r="68" spans="1:3" x14ac:dyDescent="0.2">
      <c r="A68" t="s" s="0">
        <v>10</v>
      </c>
      <c r="B68" t="s" s="0">
        <v>119</v>
      </c>
      <c r="C68" s="0">
        <v>2024</v>
      </c>
    </row>
    <row r="69" spans="1:3" x14ac:dyDescent="0.2">
      <c r="A69" t="s" s="0">
        <v>70</v>
      </c>
      <c r="B69" t="s" s="0">
        <v>120</v>
      </c>
      <c r="C69" s="0">
        <v>2017</v>
      </c>
    </row>
    <row r="70" spans="1:3" x14ac:dyDescent="0.2">
      <c r="A70" t="s" s="0">
        <v>115</v>
      </c>
      <c r="B70" t="s" s="0">
        <v>121</v>
      </c>
      <c r="C70" s="0">
        <v>2020</v>
      </c>
    </row>
    <row r="71" spans="1:3" x14ac:dyDescent="0.2">
      <c r="A71" t="s" s="0">
        <v>20</v>
      </c>
      <c r="B71" t="s" s="0">
        <v>122</v>
      </c>
      <c r="C71" s="0">
        <v>2018</v>
      </c>
    </row>
    <row r="72" spans="1:3" x14ac:dyDescent="0.2">
      <c r="A72" t="s" s="0">
        <v>56</v>
      </c>
      <c r="B72" t="s" s="0">
        <v>123</v>
      </c>
      <c r="C72" s="0">
        <v>2020</v>
      </c>
    </row>
    <row r="73" spans="1:3" x14ac:dyDescent="0.2">
      <c r="A73" t="s" s="0">
        <v>45</v>
      </c>
      <c r="B73" t="s" s="0">
        <v>124</v>
      </c>
      <c r="C73" s="0">
        <v>2021</v>
      </c>
    </row>
    <row r="74" spans="1:3" x14ac:dyDescent="0.2">
      <c r="A74" t="s" s="0">
        <v>125</v>
      </c>
      <c r="B74" t="s" s="0">
        <v>126</v>
      </c>
      <c r="C74" t="s" s="0">
        <v>159</v>
      </c>
    </row>
    <row r="75" spans="1:3" x14ac:dyDescent="0.2">
      <c r="A75" t="s" s="0">
        <v>127</v>
      </c>
      <c r="B75" t="s" s="0">
        <v>128</v>
      </c>
      <c r="C75" s="0">
        <v>2024</v>
      </c>
    </row>
    <row r="76" spans="1:3" x14ac:dyDescent="0.2">
      <c r="A76" t="s" s="0">
        <v>68</v>
      </c>
      <c r="B76" t="s" s="0">
        <v>129</v>
      </c>
      <c r="C76" s="0">
        <v>2018</v>
      </c>
    </row>
    <row r="77" spans="1:3" x14ac:dyDescent="0.2">
      <c r="A77" t="s" s="0">
        <v>33</v>
      </c>
      <c r="B77" t="s" s="0">
        <v>130</v>
      </c>
      <c r="C77" s="0">
        <v>2021</v>
      </c>
    </row>
    <row r="78" spans="1:3" x14ac:dyDescent="0.2">
      <c r="A78" t="s" s="0">
        <v>131</v>
      </c>
      <c r="B78" t="s" s="0">
        <v>132</v>
      </c>
      <c r="C78" s="0">
        <v>2017</v>
      </c>
    </row>
    <row r="79" spans="1:3" x14ac:dyDescent="0.2">
      <c r="A79" t="s" s="0">
        <v>115</v>
      </c>
      <c r="B79" t="s" s="0">
        <v>133</v>
      </c>
      <c r="C79" s="0">
        <v>2020</v>
      </c>
    </row>
    <row r="80" spans="1:3" x14ac:dyDescent="0.2">
      <c r="A80" t="s" s="0">
        <v>45</v>
      </c>
      <c r="B80" t="s" s="0">
        <v>134</v>
      </c>
      <c r="C80" s="0">
        <v>2019</v>
      </c>
    </row>
    <row r="81" spans="1:3" x14ac:dyDescent="0.2">
      <c r="A81" t="s" s="0">
        <v>14</v>
      </c>
      <c r="B81" t="s" s="0">
        <v>135</v>
      </c>
      <c r="C81" s="0">
        <v>2020</v>
      </c>
    </row>
    <row r="82" spans="1:3" x14ac:dyDescent="0.2">
      <c r="A82" t="s" s="0">
        <v>10</v>
      </c>
      <c r="B82" t="s" s="0">
        <v>136</v>
      </c>
      <c r="C82" s="0">
        <v>2021</v>
      </c>
    </row>
    <row r="83" spans="1:3" x14ac:dyDescent="0.2">
      <c r="A83" t="s" s="0">
        <v>131</v>
      </c>
      <c r="B83" t="s" s="0">
        <v>137</v>
      </c>
      <c r="C83" s="0">
        <v>2016</v>
      </c>
    </row>
    <row r="84" spans="1:3" x14ac:dyDescent="0.2">
      <c r="A84" t="s" s="0">
        <v>115</v>
      </c>
      <c r="B84" t="s" s="0">
        <v>138</v>
      </c>
      <c r="C84" s="0">
        <v>2020</v>
      </c>
    </row>
    <row r="85" spans="1:3" x14ac:dyDescent="0.2">
      <c r="A85" t="s" s="0">
        <v>35</v>
      </c>
      <c r="B85" t="s" s="0">
        <v>139</v>
      </c>
      <c r="C85" s="0">
        <v>2020</v>
      </c>
    </row>
    <row r="86" spans="1:3" x14ac:dyDescent="0.2">
      <c r="A86" t="s" s="0">
        <v>140</v>
      </c>
      <c r="B86" t="s" s="0">
        <v>141</v>
      </c>
      <c r="C86" s="0">
        <v>2020</v>
      </c>
    </row>
    <row r="87" spans="1:3" x14ac:dyDescent="0.2">
      <c r="A87" t="s" s="0">
        <v>10</v>
      </c>
      <c r="B87" t="s" s="0">
        <v>143</v>
      </c>
      <c r="C87" s="0">
        <v>2024</v>
      </c>
    </row>
    <row r="88" spans="1:3" x14ac:dyDescent="0.2">
      <c r="A88" t="s" s="0">
        <v>33</v>
      </c>
      <c r="B88" t="s" s="0">
        <v>144</v>
      </c>
      <c r="C88" s="0">
        <v>2019</v>
      </c>
    </row>
    <row r="89" spans="1:3" x14ac:dyDescent="0.2">
      <c r="A89" t="s" s="0">
        <v>56</v>
      </c>
      <c r="B89" t="s" s="0">
        <v>145</v>
      </c>
      <c r="C89" s="0">
        <v>2021</v>
      </c>
    </row>
    <row r="90" spans="1:3" x14ac:dyDescent="0.2">
      <c r="A90" t="s" s="0">
        <v>56</v>
      </c>
      <c r="B90" t="s" s="0">
        <v>146</v>
      </c>
      <c r="C90" s="0">
        <v>2020</v>
      </c>
    </row>
    <row r="91" spans="1:3" x14ac:dyDescent="0.2">
      <c r="A91" t="s" s="0">
        <v>33</v>
      </c>
      <c r="B91" t="s" s="0">
        <v>147</v>
      </c>
      <c r="C91" s="0">
        <v>2020</v>
      </c>
    </row>
    <row r="92" spans="1:3" x14ac:dyDescent="0.2">
      <c r="A92" t="s" s="0">
        <v>131</v>
      </c>
      <c r="B92" t="s" s="0">
        <v>148</v>
      </c>
      <c r="C92" s="0">
        <v>2016</v>
      </c>
    </row>
    <row r="93" spans="1:3" x14ac:dyDescent="0.2">
      <c r="A93" t="s" s="0">
        <v>68</v>
      </c>
      <c r="B93" t="s" s="0">
        <v>89</v>
      </c>
      <c r="C93" s="0">
        <v>2019</v>
      </c>
    </row>
    <row r="94" spans="1:3" x14ac:dyDescent="0.2">
      <c r="A94" t="s" s="0">
        <v>37</v>
      </c>
      <c r="B94" t="s" s="0">
        <v>149</v>
      </c>
      <c r="C94" s="0">
        <v>2021</v>
      </c>
    </row>
    <row r="95" spans="1:3" x14ac:dyDescent="0.2">
      <c r="A95" t="s" s="0">
        <v>140</v>
      </c>
      <c r="B95" t="s" s="0">
        <v>150</v>
      </c>
      <c r="C95" s="0">
        <v>2020</v>
      </c>
    </row>
    <row r="96" spans="1:3" x14ac:dyDescent="0.2">
      <c r="A96" t="s" s="0">
        <v>14</v>
      </c>
      <c r="B96" t="s" s="0">
        <v>151</v>
      </c>
      <c r="C96" s="0">
        <v>2020</v>
      </c>
    </row>
    <row r="97" spans="1:3" x14ac:dyDescent="0.2">
      <c r="A97" t="s" s="0">
        <v>68</v>
      </c>
      <c r="B97" t="s" s="0">
        <v>152</v>
      </c>
      <c r="C97" s="0">
        <v>2019</v>
      </c>
    </row>
    <row r="98" spans="1:3" x14ac:dyDescent="0.2">
      <c r="A98" t="s" s="0">
        <v>125</v>
      </c>
      <c r="B98" t="s" s="0">
        <v>153</v>
      </c>
      <c r="C98" t="s" s="0">
        <v>159</v>
      </c>
    </row>
    <row r="99" spans="1:3" x14ac:dyDescent="0.2">
      <c r="A99" t="s" s="0">
        <v>37</v>
      </c>
      <c r="B99" t="s" s="0">
        <v>154</v>
      </c>
      <c r="C99" s="0">
        <v>2021</v>
      </c>
    </row>
    <row r="100" spans="1:3" x14ac:dyDescent="0.2">
      <c r="A100" t="s" s="0">
        <v>33</v>
      </c>
      <c r="B100" t="s" s="0">
        <v>155</v>
      </c>
      <c r="C100" s="0">
        <v>2020</v>
      </c>
    </row>
    <row r="101" spans="1:3" x14ac:dyDescent="0.2">
      <c r="A101" t="s" s="0">
        <v>37</v>
      </c>
      <c r="B101" t="s" s="0">
        <v>156</v>
      </c>
      <c r="C101" s="0">
        <v>2021</v>
      </c>
    </row>
    <row r="102" spans="1:3" x14ac:dyDescent="0.2">
      <c r="A102" t="s" s="0">
        <v>37</v>
      </c>
      <c r="B102" t="s" s="0">
        <v>157</v>
      </c>
      <c r="C102" s="0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2024-08-20T16:41:00Z</dcterms:created>
  <dc:creator>openpyxl</dc:creator>
  <cp:lastModifiedBy>Tricoche, Xavier Michel</cp:lastModifiedBy>
  <dcterms:modified xsi:type="dcterms:W3CDTF">2024-08-22T20:13:11Z</dcterms:modified>
  <dc:title>Tabular dataset of the technical characteristics of the electrical vehicles introduced in the American market between 2010 and 2024.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2024-08-20T16:42:54Z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03074fa0-6cf1-4d8f-a268-889170f38710</vt:lpwstr>
  </property>
  <property fmtid="{D5CDD505-2E9C-101B-9397-08002B2CF9AE}" pid="8" name="MSIP_Label_4044bd30-2ed7-4c9d-9d12-46200872a97b_ContentBits">
    <vt:lpwstr>0</vt:lpwstr>
  </property>
  <property pid="9" fmtid="{D5CDD505-2E9C-101B-9397-08002B2CF9AE}" name="data-panorama-remediation-history">
    <vt:lpwstr>[{"title":"Tabular dataset of the technical characteristics of the electrical vehicles introduced in the American market between 2010 and 2024. ","pageNumber":0,"geomIndex":-1,"issueTypeId":"MissingTitleIssue:XLSX","dismiss":false,"pageNumbers":[1],"coordinatesList":[[10.0,10.0,2.0,2.0]]},{"pageNumber":0,"geomIndex":0,"lastGeomIndex":12,"textElement":"Manufacturer","identifiers":{"ELEMENT_INDICES":"1"},"tableIndex":-1,"rowIndex":0,"cellIndex":0,"fontSize":12,"issueTypeId":"SmallFontSizeIssue:XLSX","dismiss":false,"pageNumbers":[1],"coordinatesList":[[46.77199935913086,78.35130286216736,63.35947799682617,10.998000144958496]]},{"pageNumber":0,"geomIndex":0,"lastGeomIndex":5,"textElement":"Tesla","identifiers":{"ELEMENT_INDICES":"2"},"tableIndex":-1,"rowIndex":0,"cellIndex":0,"fontSize":12,"issueTypeId":"SmallFontSizeIssue:XLSX","dismiss":false,"pageNumbers":[1],"coordinatesList":[[54.992000579833984,395.15132117271423,22.908832550048828,10.998000144958496]]},{"pageNumber":0,"geomIndex":12,"lastGeomIndex":17,"textElement":"Model","identifiers":{"ELEMENT_INDICES":"1"},"tableIndex":-1,"rowIndex":0,"cellIndex":1,"fontSize":12,"issueTypeId":"SmallFontSizeIssue:XLSX","dismiss":false,"pageNumbers":[1],"coordinatesList":[[168.5760040283203,78.35130286216736,29.639617919921875,10.998000144958496]]},{"pageNumber":0,"geomIndex":17,"lastGeomIndex":21,"textElement":"Year","identifiers":{"ELEMENT_INDICES":"1"},"tableIndex":-1,"rowIndex":0,"cellIndex":2,"fontSize":12,"issueTypeId":"SmallFontSizeIssue:XLSX","dismiss":false,"pageNumbers":[1],"coordinatesList":[[305.3760070800781,78.35130286216736,20.5662841796875,10.998000144958496]]},{"pageNumber":0,"geomIndex":21,"lastGeomIndex":27,"textElement":"Weight","identifiers":{"ELEMENT_INDICES":"1"},"tableIndex":-1,"rowIndex":0,"cellIndex":3,"fontSize":12,"issueTypeId":"SmallFontSizeIssue:XLSX","dismiss":false,"pageNumbers":[1],"coordinatesList":[[375.3919982910156,78.35130286216736,33.103973388671875,10.998000144958496]]},{"pageNumber":0,"geomIndex":27,"lastGeomIndex":35,"textElement":"Top Speed","identifiers":{"ELEMENT_INDICES":"1"},"tableIndex":-1,"rowIndex":0,"cellIndex":4,"fontSize":12,"issueTypeId":"SmallFontSizeIssue:XLSX","dismiss":false,"pageNumbers":[1],"coordinatesList":[[417.0329895019531,78.35130286216736,47.7752685546875,10.998000144958496]]},{"pageNumber":0,"geomIndex":29,"lastGeomIndex":33,"textElement":"2018","identifiers":{"ELEMENT_INDICES":"2"},"tableIndex":-1,"rowIndex":0,"cellIndex":2,"fontSize":12,"issueTypeId":"SmallFontSizeIssue:XLSX","dismiss":false,"pageNumbers":[1],"coordinatesList":[[344.15399169921875,500.118301153183,22.260009765625,10.998000144958496]]},{"pageNumber":0,"geomIndex":35,"lastGeomIndex":40,"textElement":"Range","identifiers":{"ELEMENT_INDICES":"1"},"tableIndex":-1,"rowIndex":0,"cellIndex":5,"fontSize":12,"issueTypeId":"SmallFontSizeIssue:XLSX","dismiss":false,"pageNumbers":[1],"coordinatesList":[[479.4800109863281,78.35130286216736,28.24285888671875,10.998000144958496]]},{"pageNumber":0,"geomIndex":40,"lastGeomIndex":52,"textElement":"Acceleration","identifiers":{"ELEMENT_INDICES":"1"},"tableIndex":-1,"rowIndex":0,"cellIndex":6,"fontSize":12,"issueTypeId":"SmallFontSizeIssue:XLSX","dismiss":false,"pageNumbers":[1],"coordinatesList":[[10.0,10.0,2.0,2.0]]},{"pageNumber":0,"geomIndex":51,"lastGeomIndex":55,"textElement":"2020","identifiers":{"ELEMENT_INDICES":"2"},"tableIndex":-1,"rowIndex":1,"cellIndex":2,"fontSize":12,"issueTypeId":"SmallFontSizeIssue:XLSX","dismiss":false,"pageNumbers":[1],"coordinatesList":[[344.15399169921875,410.14631628990173,22.260009765625,10.998000144958496]]},{"pageNumber":0,"geomIndex":52,"lastGeomIndex":62,"textElement":"Efficiency","identifiers":{"ELEMENT_INDICES":"1"},"tableIndex":-1,"rowIndex":0,"cellIndex":7,"fontSize":12,"issueTypeId":"SmallFontSizeIssue:XLSX","dismiss":false,"pageNumbers":[1],"coordinatesList":[[10.0,10.0,2.0,2.0]]},{"pageNumber":0,"geomIndex":55,"lastGeomIndex":63,"textElement":"Polestar","identifiers":{"ELEMENT_INDICES":"2"},"tableIndex":-1,"rowIndex":2,"cellIndex":0,"fontSize":12,"issueTypeId":"SmallFontSizeIssue:XLSX","dismiss":false,"pageNumbers":[1],"coordinatesList":[[54.992000579833984,125.23631262779236,36.524349212646484,10.998000144958496]]},{"pageNumber":0,"geomIndex":62,"lastGeomIndex":67,"textElement":"Price","identifiers":{"ELEMENT_INDICES":"1"},"tableIndex":-1,"rowIndex":0,"cellIndex":8,"fontSize":12,"issueTypeId":"SmallFontSizeIssue:XLSX","dismiss":false,"pageNumbers":[1],"coordinatesList":[[10.0,10.0,2.0,2.0]]},{"pageNumber":0,"geomIndex":63,"lastGeomIndex":64,"textElement":"2","identifiers":{"ELEMENT_INDICES":"2"},"tableIndex":-1,"rowIndex":2,"cellIndex":1,"fontSize":12,"issueTypeId":"SmallFontSizeIssue:XLSX","dismiss":false,"pageNumbers":[1],"coordinatesList":[[355.28399658203125,410.14631628990173,5.56500244140625,10.998000144958496]]},{"pageNumber":0,"geomIndex":64,"lastGeomIndex":68,"textElement":"2020","identifiers":{"ELEMENT_INDICES":"2"},"tableIndex":-1,"rowIndex":2,"cellIndex":2,"fontSize":12,"issueTypeId":"SmallFontSizeIssue:XLSX","dismiss":false,"pageNumbers":[1],"coordinatesList":[[344.15399169921875,410.14631628990173,22.260009765625,10.998000144958496]]},{"pageNumber":0,"geomIndex":67,"lastGeomIndex":74,"textElement":"Country","identifiers":{"ELEMENT_INDICES":"1"},"tableIndex":-1,"rowIndex":0,"cellIndex":9,"fontSize":12,"issueTypeId":"SmallFontSizeIssue:XLSX","dismiss":false,"pageNumbers":[1],"coordinatesList":[[10.0,10.0,2.0,2.0]]},{"pageNumber":0,"geomIndex":74,"lastGeomIndex":80,"textElement":"Region","identifiers":{"ELEMENT_INDICES":"1"},"tableIndex":-1,"rowIndex":0,"cellIndex":10,"fontSize":12,"issueTypeId":"SmallFontSizeIssue:XLSX","dismiss":false,"pageNumbers":[1],"coordinatesList":[[10.0,10.0,2.0,2.0]]},{"pageNumber":0,"geomIndex":74,"lastGeomIndex":78,"textElement":"2020","identifiers":{"ELEMENT_INDICES":"2"},"tableIndex":-1,"rowIndex":3,"cellIndex":2,"fontSize":12,"issueTypeId":"SmallFontSizeIssue:XLSX","dismiss":false,"pageNumbers":[1],"coordinatesList":[[344.15399169921875,410.14631628990173,22.260009765625,10.998000144958496]]},{"pageNumber":0,"geomIndex":78,"lastGeomIndex":83,"textElement":"Honda","identifiers":{"ELEMENT_INDICES":"2"},"tableIndex":-1,"rowIndex":4,"cellIndex":0,"fontSize":12,"issueTypeId":"SmallFontSizeIssue:XLSX","dismiss":false,"pageNumbers":[1],"coordinatesList":[[54.992000579833984,425.14131140708923,29.463642120361328,10.998000144958496]]},{"pageNumber":0,"geomIndex":80,"lastGeomIndex":88,"textElement":"Polestar","identifiers":{"ELEMENT_INDICES":"1"},"tableIndex":-1,"rowIndex":1,"cellIndex":0,"fontSize":12,"issueTypeId":"SmallFontSizeIssue:XLSX","dismiss":false,"pageNumbers":[1],"coordinatesList":[[54.992000579833984,125.23631262779236,36.524349212646484,10.998000144958496]]},{"pageNumber":0,"geomIndex":83,"lastGeomIndex":84,"textElement":"e","identifiers":{"ELEMENT_INDICES":"2"},"tableIndex":-1,"rowIndex":4,"cellIndex":1,"fontSize":12,"issueTypeId":"SmallFontSizeIssue:XLSX","dismiss":false,"pageNumbers":[1],"coordinatesList":[[103.9749984741211,425.14131140708923,5.46600341796875,10.998000144958496]]},{"pageNumber":0,"geomIndex":84,"lastGeomIndex":88,"textElement":"2020","identifiers":{"ELEMENT_INDICES":"2"},"tableIndex":-1,"rowIndex":4,"cellIndex":2,"fontSize":12,"issueTypeId":"SmallFontSizeIssue:XLSX","dismiss":false,"pageNumbers":[1],"coordinatesList":[[344.15399169921875,410.14631628990173,22.260009765625,10.998000144958496]]},{"pageNumber":0,"geomIndex":88,"lastGeomIndex":89,"textElement":"2","identifiers":{"ELEMENT_INDICES":"1"},"tableIndex":-1,"rowIndex":1,"cellIndex":1,"fontSize":12,"issueTypeId":"SmallFontSizeIssue:XLSX","dismiss":false,"pageNumbers":[1],"coordinatesList":[[404.2669982910156,110.24027991294861,5.56500244140625,10.998000144958496]]},{"pageNumber":0,"geomIndex":88,"lastGeomIndex":93,"textElement":"Lucid","identifiers":{"ELEMENT_INDICES":"2"},"tableIndex":-1,"rowIndex":5,"cellIndex":0,"fontSize":12,"issueTypeId":"SmallFontSizeIssue:XLSX","dismiss":false,"pageNumbers":[1],"coordinatesList":[[54.992000579833984,170.2223355770111,23.32675552368164,10.998000144958496]]},{"pageNumber":0,"geomIndex":89,"lastGeomIndex":133,"textElement":"_xlfn.XLOOKUP($B2,Sheet2!$B:$B,Sheet2!$C:$C)","identifiers":{"ELEMENT_INDICES":"1"},"tableIndex":-1,"rowIndex":1,"cellIndex":2,"fontSize":12,"issueTypeId":"SmallFontSizeIssue:XLSX","dismiss":false,"pageNumbers":[1],"coordinatesList":[[10.0,10.0,2.0,2.0]]},{"pageNumber":0,"geomIndex":93,"lastGeomIndex":96,"textElement":"Air","identifiers":{"ELEMENT_INDICES":"2"},"tableIndex":-1,"rowIndex":5,"cellIndex":1,"fontSize":12,"issueTypeId":"SmallFontSizeIssue:XLSX","dismiss":false,"pageNumbers":[1],"coordinatesList":[[103.9749984741211,170.2223355770111,12.702682495117188,10.998000144958496]]},{"pageNumber":0,"geomIndex":96,"lastGeomIndex":100,"textElement":"2021","identifiers":{"ELEMENT_INDICES":"2"},"tableIndex":-1,"rowIndex":5,"cellIndex":2,"fontSize":12,"issueTypeId":"SmallFontSizeIssue:XLSX","dismiss":false,"pageNumbers":[1],"coordinatesList":[[344.15399169921875,260.1932828426361,22.260009765625,10.998000144958496]]},{"pageNumber":0,"geomIndex":110,"lastGeomIndex":116,"textElement":"e-Golf","identifiers":{"ELEMENT_INDICES":"2"},"tableIndex":-1,"rowIndex":6,"cellIndex":1,"fontSize":12,"issueTypeId":"SmallFontSizeIssue:XLSX","dismiss":false,"pageNumbers":[1],"coordinatesList":[[103.9749984741211,485.12229895591736,27.42900848388672,10.998000144958496]]},{"pageNumber":0,"geomIndex":116,"lastGeomIndex":120,"textElement":"2014","identifiers":{"ELEMENT_INDICES":"2"},"tableIndex":-1,"rowIndex":6,"cellIndex":2,"fontSize":12,"issueTypeId":"SmallFontSizeIssue:XLSX","dismiss":false,"pageNumbers":[1],"coordinatesList":[[344.15399169921875,485.12229895591736,22.260009765625,10.998000144958496]]},{"pageNumber":0,"geomIndex":120,"lastGeomIndex":127,"textElement":"Peugeot","identifiers":{"ELEMENT_INDICES":"2"},"tableIndex":-1,"rowIndex":7,"cellIndex":0,"fontSize":12,"issueTypeId":"SmallFontSizeIssue:XLSX","dismiss":false,"pageNumbers":[1],"coordinatesList":[[54.992000579833984,440.13630652427673,37.01926040649414,10.998000144958496]]},{"pageNumber":0,"geomIndex":127,"lastGeomIndex":132,"textElement":"e-208","identifiers":{"ELEMENT_INDICES":"2"},"tableIndex":-1,"rowIndex":7,"cellIndex":1,"fontSize":12,"issueTypeId":"SmallFontSizeIssue:XLSX","dismiss":false,"pageNumbers":[1],"coordinatesList":[[103.9749984741211,455.13230872154236,25.52635955810547,10.998000144958496]]},{"pageNumber":0,"geomIndex":132,"lastGeomIndex":136,"textElement":"2019","identifiers":{"ELEMENT_INDICES":"2"},"tableIndex":-1,"rowIndex":7,"cellIndex":2,"fontSize":12,"issueTypeId":"SmallFontSizeIssue:XLSX","dismiss":false,"pageNumbers":[1],"coordinatesList":[[344.15399169921875,455.13230872154236,22.260009765625,10.998000144958496]]},{"pageNumber":0,"geomIndex":133,"lastGeomIndex":137,"textElement":"2113","identifiers":{"ELEMENT_INDICES":"1"},"tableIndex":-1,"rowIndex":1,"cellIndex":3,"fontSize":12,"issueTypeId":"SmallFontSizeIssue:XLSX","dismiss":false,"pageNumbers":[1],"coordinatesList":[[393.1369934082031,95.24528479576111,22.260009765625,10.998000144958496]]},{"pageNumber":0,"geomIndex":136,"lastGeomIndex":141,"textElement":"Tesla","identifiers":{"ELEMENT_INDICES":"2"},"tableIndex":-1,"rowIndex":8,"cellIndex":0,"fontSize":12,"issueTypeId":"SmallFontSizeIssue:XLSX","dismiss":false,"pageNumbers":[1],"coordinatesList":[[54.992000579833984,395.15132117271423,22.908832550048828,10.998000144958496]]},{"pageNumber":0,"geomIndex":137,"lastGeomIndex":140,"textElement":"210","identifiers":{"ELEMENT_INDICES":"1"},"tableIndex":-1,"rowIndex":1,"cellIndex":4,"fontSize":12,"issueTypeId":"SmallFontSizeIssue:XLSX","dismiss":false,"pageNumbers":[1],"coordinatesList":[[447.7040100097656,395.15132117271423,16.69500732421875,10.998000144958496]]},{"pageNumber":0,"geomIndex":140,"lastGeomIndex":143,"textElement":"400","identifiers":{"ELEMENT_INDICES":"1"},"tableIndex":-1,"rowIndex":1,"cellIndex":5,"fontSize":12,"issueTypeId":"SmallFontSizeIssue:XLSX","dismiss":false,"pageNumbers":[1],"coordinatesList":[[504.0849914550781,275.1882779598236,16.694976806640625,10.998000144958496]]},{"pageNumber":0,"geomIndex":143,"lastGeomIndex":146,"textElement":"4.7","identifiers":{"ELEMENT_INDICES":"1"},"tableIndex":-1,"rowIndex":1,"cellIndex":6,"fontSize":12,"issueTypeId":"SmallFontSizeIssue:XLSX","dismiss":false,"pageNumbers":[1],"coordinatesList":[[10.0,10.0,2.0,2.0]]},{"pageNumber":0,"geomIndex":146,"lastGeomIndex":149,"textElement":"181","identifiers":{"ELEMENT_INDICES":"1"},"tableIndex":-1,"rowIndex":1,"cellIndex":7,"fontSize":12,"issueTypeId":"SmallFontSizeIssue:XLSX","dismiss":false,"pageNumbers":[1],"coordinatesList":[[355.28399658203125,500.118301153183,43.417999267578125,10.998000144958496]]},{"pageNumber":0,"geomIndex":149,"lastGeomIndex":154,"textElement":"56440","identifiers":{"ELEMENT_INDICES":"1"},"tableIndex":-1,"rowIndex":1,"cellIndex":8,"fontSize":12,"issueTypeId":"SmallFontSizeIssue:XLSX","dismiss":false,"pageNumbers":[1],"coordinatesList":[[10.0,10.0,2.0,2.0]]},{"pageNumber":0,"geomIndex":154,"lastGeomIndex":160,"textElement":"Sweden","identifiers":{"ELEMENT_INDICES":"1"},"tableIndex":-1,"rowIndex":1,"cellIndex":9,"fontSize":12,"issueTypeId":"SmallFontSizeIssue:XLSX","dismiss":false,"pageNumbers":[1],"coordinatesList":[[10.0,10.0,2.0,2.0]]},{"pageNumber":0,"geomIndex":160,"lastGeomIndex":166,"textElement":"Europe","identifiers":{"ELEMENT_INDICES":"1"},"tableIndex":-1,"rowIndex":1,"cellIndex":10,"fontSize":12,"issueTypeId":"SmallFontSizeIssue:XLSX","dismiss":false,"pageNumbers":[1],"coordinatesList":[[10.0,10.0,2.0,2.0]]},{"pageNumber":0,"geomIndex":164,"lastGeomIndex":168,"textElement":"2019","identifiers":{"ELEMENT_INDICES":"2"},"tableIndex":-1,"rowIndex":8,"cellIndex":2,"fontSize":12,"issueTypeId":"SmallFontSizeIssue:XLSX","dismiss":false,"pageNumbers":[1],"coordinatesList":[[344.15399169921875,455.13230872154236,22.260009765625,10.998000144958496]]},{"pageNumber":0,"geomIndex":166,"lastGeomIndex":168,"textElement":"DS","identifiers":{"ELEMENT_INDICES":"1"},"tableIndex":-1,"rowIndex":2,"cellIndex":0,"fontSize":12,"issueTypeId":"SmallFontSizeIssue:XLSX","dismiss":false,"pageNumbers":[1],"coordinatesList":[[54.992000579833984,110.24027991294861,11.81185531616211,10.998000144958496]]},{"pageNumber":0,"geomIndex":168,"lastGeomIndex":185,"textElement":"3 Crossback E-Tense","identifiers":{"ELEMENT_INDICES":"1"},"tableIndex":-1,"rowIndex":2,"cellIndex":1,"fontSize":12,"issueTypeId":"SmallFontSizeIssue:XLSX","dismiss":false,"pageNumbers":[1],"coordinatesList":[[103.9749984741211,110.24027991294861,90.3925552368164,10.998000144958496]]},{"pageNumber":0,"geomIndex":168,"lastGeomIndex":172,"textElement":"Audi","identifiers":{"ELEMENT_INDICES":"2"},"tableIndex":-1,"rowIndex":9,"cellIndex":0,"fontSize":12,"issueTypeId":"SmallFontSizeIssue:XLSX","dismiss":false,"pageNumbers":[1],"coordinatesList":[[54.992000579833984,575.0943143367767,20.423282623291016,10.998000144958496]]},{"pageNumber":0,"geomIndex":180,"lastGeomIndex":184,"textElement":"2021","identifiers":{"ELEMENT_INDICES":"2"},"tableIndex":-1,"rowIndex":9,"cellIndex":2,"fontSize":12,"issueTypeId":"SmallFontSizeIssue:XLSX","dismiss":false,"pageNumbers":[1],"coordinatesList":[[344.15399169921875,260.1932828426361,22.260009765625,10.998000144958496]]},{"pageNumber":0,"geomIndex":185,"lastGeomIndex":229,"textElement":"_xlfn.XLOOKUP($B3,Sheet2!$B:$B,Sheet2!$C:$C)","identifiers":{"ELEMENT_INDICES":"1"},"tableIndex":-1,"rowIndex":2,"cellIndex":2,"fontSize":12,"issueTypeId":"SmallFontSizeIssue:XLSX","dismiss":false,"pageNumbers":[1],"coordinatesList":[[10.0,10.0,2.0,2.0]]},{"pageNumber":0,"geomIndex":204,"lastGeomIndex":208,"textElement":"2019","identifiers":{"ELEMENT_INDICES":"2"},"tableIndex":-1,"rowIndex":10,"cellIndex":2,"fontSize":12,"issueTypeId":"SmallFontSizeIssue:XLSX","dismiss":false,"pageNumbers":[1],"coordinatesList":[[344.15399169921875,455.13230872154236,22.260009765625,10.998000144958496]]},{"pageNumber":0,"geomIndex":208,"lastGeomIndex":214,"textElement":"Nissan","identifiers":{"ELEMENT_INDICES":"2"},"tableIndex":-1,"rowIndex":11,"cellIndex":0,"fontSize":12,"issueTypeId":"SmallFontSizeIssue:XLSX","dismiss":false,"pageNumbers":[1],"coordinatesList":[[54.992000579833984,530.108291387558,29.25467300415039,10.998000144958496]]},{"pageNumber":0,"geomIndex":229,"lastGeomIndex":233,"textElement":"1523","identifiers":{"ELEMENT_INDICES":"1"},"tableIndex":-1,"rowIndex":2,"cellIndex":3,"fontSize":12,"issueTypeId":"SmallFontSizeIssue:XLSX","dismiss":false,"pageNumbers":[1],"coordinatesList":[[393.1369934082031,110.24027991294861,22.260009765625,10.998000144958496]]},{"pageNumber":0,"geomIndex":233,"lastGeomIndex":236,"textElement":"150","identifiers":{"ELEMENT_INDICES":"1"},"tableIndex":-1,"rowIndex":2,"cellIndex":4,"fontSize":12,"issueTypeId":"SmallFontSizeIssue:XLSX","dismiss":false,"pageNumbers":[1],"coordinatesList":[[447.7040100097656,440.13630652427673,16.69500732421875,10.998000144958496]]},{"pageNumber":0,"geomIndex":236,"lastGeomIndex":239,"textElement":"250","identifiers":{"ELEMENT_INDICES":"1"},"tableIndex":-1,"rowIndex":2,"cellIndex":5,"fontSize":12,"issueTypeId":"SmallFontSizeIssue:XLSX","dismiss":false,"pageNumbers":[1],"coordinatesList":[[504.0849914550781,440.13630652427673,16.694976806640625,10.998000144958496]]},{"pageNumber":0,"geomIndex":239,"lastGeomIndex":242,"textElement":"8.7","identifiers":{"ELEMENT_INDICES":"1"},"tableIndex":-1,"rowIndex":2,"cellIndex":6,"fontSize":12,"issueTypeId":"SmallFontSizeIssue:XLSX","dismiss":false,"pageNumbers":[1],"coordinatesList":[[10.0,10.0,2.0,2.0]]},{"pageNumber":0,"geomIndex":242,"lastGeomIndex":245,"textElement":"180","identifiers":{"ELEMENT_INDICES":"1"},"tableIndex":-1,"rowIndex":2,"cellIndex":7,"fontSize":12,"issueTypeId":"SmallFontSizeIssue:XLSX","dismiss":false,"pageNumbers":[1],"coordinatesList":[[447.7040100097656,380.1553189754486,16.69500732421875,10.998000144958496]]},{"pageNumber":0,"geomIndex":245,"lastGeomIndex":250,"textElement":"37422","identifiers":{"ELEMENT_INDICES":"1"},"tableIndex":-1,"rowIndex":2,"cellIndex":8,"fontSize":12,"issueTypeId":"SmallFontSizeIssue:XLSX","dismiss":false,"pageNumbers":[1],"coordinatesList":[[10.0,10.0,2.0,2.0]]},{"pageNumber":0,"geomIndex":246,"lastGeomIndex":250,"textElement":"2018","identifiers":{"ELEMENT_INDICES":"2"},"tableIndex":-1,"rowIndex":12,"cellIndex":2,"fontSize":12,"issueTypeId":"SmallFontSizeIssue:XLSX","dismiss":false,"pageNumbers":[1],"coordinatesList":[[344.15399169921875,500.118301153183,22.260009765625,10.998000144958496]]},{"pageNumber":0,"geomIndex":250,"lastGeomIndex":256,"textElement":"France","identifiers":{"ELEMENT_INDICES":"1"},"tableIndex":-1,"rowIndex":2,"cellIndex":9,"fontSize":12,"issueTypeId":"SmallFontSizeIssue:XLSX","dismiss":false,"pageNumbers":[1],"coordinatesList":[[10.0,10.0,2.0,2.0]]},{"pageNumber":0,"geomIndex":255,"lastGeomIndex":259,"textElement":"2021","identifiers":{"ELEMENT_INDICES":"2"},"tableIndex":-1,"rowIndex":13,"cellIndex":2,"fontSize":12,"issueTypeId":"SmallFontSizeIssue:XLSX","dismiss":false,"pageNumbers":[1],"coordinatesList":[[344.15399169921875,260.1932828426361,22.260009765625,10.998000144958496]]},{"pageNumber":0,"geomIndex":256,"lastGeomIndex":262,"textElement":"Europe","identifiers":{"ELEMENT_INDICES":"1"},"tableIndex":-1,"rowIndex":2,"cellIndex":10,"fontSize":12,"issueTypeId":"SmallFontSizeIssue:XLSX","dismiss":false,"pageNumbers":[1],"coordinatesList":[[10.0,10.0,2.0,2.0]]},{"pageNumber":0,"geomIndex":262,"lastGeomIndex":270,"textElement":"Polestar","identifiers":{"ELEMENT_INDICES":"1"},"tableIndex":-1,"rowIndex":3,"cellIndex":0,"fontSize":12,"issueTypeId":"SmallFontSizeIssue:XLSX","dismiss":false,"pageNumbers":[1],"coordinatesList":[[54.992000579833984,125.23631262779236,36.524349212646484,10.998000144958496]]},{"pageNumber":0,"geomIndex":270,"lastGeomIndex":271,"textElement":"4","identifiers":{"ELEMENT_INDICES":"1"},"tableIndex":-1,"rowIndex":3,"cellIndex":1,"fontSize":12,"issueTypeId":"SmallFontSizeIssue:XLSX","dismiss":false,"pageNumbers":[1],"coordinatesList":[[453.2690124511719,410.14631628990173,5.56500244140625,10.998000144958496]]},{"pageNumber":0,"geomIndex":271,"lastGeomIndex":275,"textElement":"2023","identifiers":{"ELEMENT_INDICES":"1"},"tableIndex":-1,"rowIndex":3,"cellIndex":2,"fontSize":12,"issueTypeId":"SmallFontSizeIssue:XLSX","dismiss":false,"pageNumbers":[1],"coordinatesList":[[344.15399169921875,290.18431067466736,22.260009765625,10.998000144958496]]},{"pageNumber":0,"geomIndex":275,"lastGeomIndex":279,"textElement":"2300","identifiers":{"ELEMENT_INDICES":"1"},"tableIndex":-1,"rowIndex":3,"cellIndex":3,"fontSize":12,"issueTypeId":"SmallFontSizeIssue:XLSX","dismiss":false,"pageNumbers":[1],"coordinatesList":[[393.1369934082031,125.23631262779236,22.260009765625,10.998000144958496]]},{"pageNumber":0,"geomIndex":279,"lastGeomIndex":282,"textElement":"200","identifiers":{"ELEMENT_INDICES":"1"},"tableIndex":-1,"rowIndex":3,"cellIndex":4,"fontSize":12,"issueTypeId":"SmallFontSizeIssue:XLSX","dismiss":false,"pageNumbers":[1],"coordinatesList":[[112.80638885498047,440.13630652427673,16.694969177246094,10.998000144958496]]},{"pageNumber":0,"geomIndex":282,"lastGeomIndex":285,"textElement":"600","identifiers":{"ELEMENT_INDICES":"1"},"tableIndex":-1,"rowIndex":3,"cellIndex":5,"fontSize":12,"issueTypeId":"SmallFontSizeIssue:XLSX","dismiss":false,"pageNumbers":[1],"coordinatesList":[[504.0849914550781,125.23631262779236,16.694976806640625,10.998000144958496]]},{"pageNumber":0,"geomIndex":285,"lastGeomIndex":288,"textElement":"4.7","identifiers":{"ELEMENT_INDICES":"1"},"tableIndex":-1,"rowIndex":3,"cellIndex":6,"fontSize":12,"issueTypeId":"SmallFontSizeIssue:XLSX","dismiss":false,"pageNumbers":[1],"coordinatesList":[[10.0,10.0,2.0,2.0]]},{"pageNumber":0,"geomIndex":288,"lastGeomIndex":291,"textElement":"170","identifiers":{"ELEMENT_INDICES":"1"},"tableIndex":-1,"rowIndex":3,"cellIndex":7,"fontSize":12,"issueTypeId":"SmallFontSizeIssue:XLSX","dismiss":false,"pageNumbers":[1],"coordinatesList":[[504.0849914550781,410.14631628990173,16.694976806640625,10.998000144958496]]},{"pageNumber":0,"geomIndex":291,"lastGeomIndex":296,"textElement":"60000","identifiers":{"ELEMENT_INDICES":"1"},"tableIndex":-1,"rowIndex":3,"cellIndex":8,"fontSize":12,"issueTypeId":"SmallFontSizeIssue:XLSX","dismiss":false,"pageNumbers":[1],"coordinatesList":[[10.0,10.0,2.0,2.0]]},{"pageNumber":0,"geomIndex":296,"lastGeomIndex":302,"textElement":"Sweden","identifiers":{"ELEMENT_INDICES":"1"},"tableIndex":-1,"rowIndex":3,"cellIndex":9,"fontSize":12,"issueTypeId":"SmallFontSizeIssue:XLSX","dismiss":false,"pageNumbers":[1],"coordinatesList":[[10.0,10.0,2.0,2.0]]},{"pageNumber":0,"geomIndex":301,"lastGeomIndex":305,"textElement":"2020","identifiers":{"ELEMENT_INDICES":"2"},"tableIndex":-1,"rowIndex":15,"cellIndex":2,"fontSize":12,"issueTypeId":"SmallFontSizeIssue:XLSX","dismiss":false,"pageNumbers":[1],"coordinatesList":[[344.15399169921875,410.14631628990173,22.260009765625,10.998000144958496]]},{"pageNumber":0,"geomIndex":302,"lastGeomIndex":308,"textElement":"Europe","identifiers":{"ELEMENT_INDICES":"1"},"tableIndex":-1,"rowIndex":3,"cellIndex":10,"fontSize":12,"issueTypeId":"SmallFontSizeIssue:XLSX","dismiss":false,"pageNumbers":[1],"coordinatesList":[[10.0,10.0,2.0,2.0]]},{"pageNumber":0,"geomIndex":308,"lastGeomIndex":312,"textElement":"Fiat","identifiers":{"ELEMENT_INDICES":"1"},"tableIndex":-1,"rowIndex":4,"cellIndex":0,"fontSize":12,"issueTypeId":"SmallFontSizeIssue:XLSX","dismiss":false,"pageNumbers":[1],"coordinatesList":[[54.992000579833984,155.22630286216736,16.507999420166016,10.998000144958496]]},{"pageNumber":0,"geomIndex":312,"lastGeomIndex":327,"textElement":"500e Convertible","identifiers":{"ELEMENT_INDICES":"1"},"tableIndex":-1,"rowIndex":4,"cellIndex":1,"fontSize":12,"issueTypeId":"SmallFontSizeIssue:XLSX","dismiss":false,"pageNumbers":[1],"coordinatesList":[[103.9749984741211,140.23130774497986,76.21613311767578,10.998000144958496]]},{"pageNumber":0,"geomIndex":324,"lastGeomIndex":328,"textElement":"2019","identifiers":{"ELEMENT_INDICES":"2"},"tableIndex":-1,"rowIndex":16,"cellIndex":2,"fontSize":12,"issueTypeId":"SmallFontSizeIssue:XLSX","dismiss":false,"pageNumbers":[1],"coordinatesList":[[344.15399169921875,455.13230872154236,22.260009765625,10.998000144958496]]},{"pageNumber":0,"geomIndex":327,"lastGeomIndex":371,"textElement":"_xlfn.XLOOKUP($B5,Sheet2!$B:$B,Sheet2!$C:$C)","identifiers":{"ELEMENT_INDICES":"1"},"tableIndex":-1,"rowIndex":4,"cellIndex":2,"fontSize":12,"issueTypeId":"SmallFontSizeIssue:XLSX","dismiss":false,"pageNumbers":[1],"coordinatesList":[[10.0,10.0,2.0,2.0]]},{"pageNumber":0,"geomIndex":338,"lastGeomIndex":343,"textElement":"e-Up!","identifiers":{"ELEMENT_INDICES":"2"},"tableIndex":-1,"rowIndex":17,"cellIndex":1,"fontSize":12,"issueTypeId":"SmallFontSizeIssue:XLSX","dismiss":false,"pageNumbers":[1],"coordinatesList":[[103.9749984741211,680.0613095760345,25.229408264160156,10.998000144958496]]},{"pageNumber":0,"geomIndex":343,"lastGeomIndex":347,"textElement":"2013","identifiers":{"ELEMENT_INDICES":"2"},"tableIndex":-1,"rowIndex":17,"cellIndex":2,"fontSize":12,"issueTypeId":"SmallFontSizeIssue:XLSX","dismiss":false,"pageNumbers":[1],"coordinatesList":[[355.28399658203125,335.170303106308,48.983001708984375,10.998000144958496]]},{"pageNumber":0,"geomIndex":353,"lastGeomIndex":357,"textElement":"2019","identifiers":{"ELEMENT_INDICES":"2"},"tableIndex":-1,"rowIndex":18,"cellIndex":2,"fontSize":12,"issueTypeId":"SmallFontSizeIssue:XLSX","dismiss":false,"pageNumbers":[1],"coordinatesList":[[344.15399169921875,455.13230872154236,22.260009765625,10.998000144958496]]},{"pageNumber":0,"geomIndex":357,"lastGeomIndex":361,"textElement":"Mini","identifiers":{"ELEMENT_INDICES":"2"},"tableIndex":-1,"rowIndex":19,"cellIndex":0,"fontSize":12,"issueTypeId":"SmallFontSizeIssue:XLSX","dismiss":false,"pageNumbers":[1],"coordinatesList":[[54.992000579833984,335.170303106308,20.203319549560547,10.998000144958496]]},{"pageNumber":0,"geomIndex":361,"lastGeomIndex":369,"textElement":"Cooper SE","identifiers":{"ELEMENT_INDICES":"2"},"tableIndex":-1,"rowIndex":19,"cellIndex":1,"fontSize":12,"issueTypeId":"SmallFontSizeIssue:XLSX","dismiss":false,"pageNumbers":[1],"coordinatesList":[[103.9749984741211,335.170303106308,45.421730041503906,10.998000144958496]]},{"pageNumber":0,"geomIndex":369,"lastGeomIndex":373,"textElement":"2020","identifiers":{"ELEMENT_INDICES":"2"},"tableIndex":-1,"rowIndex":19,"cellIndex":2,"fontSize":12,"issueTypeId":"SmallFontSizeIssue:XLSX","dismiss":false,"pageNumbers":[1],"coordinatesList":[[344.15399169921875,410.14631628990173,22.260009765625,10.998000144958496]]},{"pageNumber":0,"geomIndex":371,"lastGeomIndex":375,"textElement":"1330","identifiers":{"ELEMENT_INDICES":"1"},"tableIndex":-1,"rowIndex":4,"cellIndex":3,"fontSize":12,"issueTypeId":"SmallFontSizeIssue:XLSX","dismiss":false,"pageNumbers":[1],"coordinatesList":[[393.1369934082031,155.22630286216736,22.260009765625,10.998000144958496]]},{"pageNumber":0,"geomIndex":373,"lastGeomIndex":377,"textElement":"Opel","identifiers":{"ELEMENT_INDICES":"2"},"tableIndex":-1,"rowIndex":20,"cellIndex":0,"fontSize":12,"issueTypeId":"SmallFontSizeIssue:XLSX","dismiss":false,"pageNumbers":[1],"coordinatesList":[[54.992000579833984,350.1652982234955,21.039165496826172,10.998000144958496]]},{"pageNumber":0,"geomIndex":375,"lastGeomIndex":378,"textElement":"150","identifiers":{"ELEMENT_INDICES":"1"},"tableIndex":-1,"rowIndex":4,"cellIndex":4,"fontSize":12,"issueTypeId":"SmallFontSizeIssue:XLSX","dismiss":false,"pageNumbers":[1],"coordinatesList":[[447.7040100097656,440.13630652427673,16.69500732421875,10.998000144958496]]},{"pageNumber":0,"geomIndex":377,"lastGeomIndex":384,"textElement":"Corsa-e","identifiers":{"ELEMENT_INDICES":"2"},"tableIndex":-1,"rowIndex":20,"cellIndex":1,"fontSize":12,"issueTypeId":"SmallFontSizeIssue:XLSX","dismiss":false,"pageNumbers":[1],"coordinatesList":[[103.9749984741211,350.1652982234955,33.88481903076172,10.998000144958496]]},{"pageNumber":0,"geomIndex":378,"lastGeomIndex":381,"textElement":"250","identifiers":{"ELEMENT_INDICES":"1"},"tableIndex":-1,"rowIndex":4,"cellIndex":5,"fontSize":12,"issueTypeId":"SmallFontSizeIssue:XLSX","dismiss":false,"pageNumbers":[1],"coordinatesList":[[504.0849914550781,440.13630652427673,16.694976806640625,10.998000144958496]]},{"pageNumber":0,"geomIndex":381,"lastGeomIndex":382,"textElement":"9","identifiers":{"ELEMENT_INDICES":"1"},"tableIndex":-1,"rowIndex":4,"cellIndex":6,"fontSize":12,"issueTypeId":"SmallFontSizeIssue:XLSX","dismiss":false,"pageNumbers":[1],"coordinatesList":[[509.6499938964844,380.1553189754486,5.564971923828125,10.998000144958496]]},{"pageNumber":0,"geomIndex":382,"lastGeomIndex":385,"textElement":"168","identifiers":{"ELEMENT_INDICES":"1"},"tableIndex":-1,"rowIndex":4,"cellIndex":7,"fontSize":12,"issueTypeId":"SmallFontSizeIssue:XLSX","dismiss":false,"pageNumbers":[1],"coordinatesList":[[10.0,10.0,2.0,2.0]]},{"pageNumber":0,"geomIndex":384,"lastGeomIndex":388,"textElement":"2019","identifiers":{"ELEMENT_INDICES":"2"},"tableIndex":-1,"rowIndex":20,"cellIndex":2,"fontSize":12,"issueTypeId":"SmallFontSizeIssue:XLSX","dismiss":false,"pageNumbers":[1],"coordinatesList":[[344.15399169921875,455.13230872154236,22.260009765625,10.998000144958496]]},{"pageNumber":0,"geomIndex":385,"lastGeomIndex":390,"textElement":"37900","identifiers":{"ELEMENT_INDICES":"1"},"tableIndex":-1,"rowIndex":4,"cellIndex":8,"fontSize":12,"issueTypeId":"SmallFontSizeIssue:XLSX","dismiss":false,"pageNumbers":[1],"coordinatesList":[[10.0,10.0,2.0,2.0]]},{"pageNumber":0,"geomIndex":388,"lastGeomIndex":393,"textElement":"Tesla","identifiers":{"ELEMENT_INDICES":"2"},"tableIndex":-1,"rowIndex":21,"cellIndex":0,"fontSize":12,"issueTypeId":"SmallFontSizeIssue:XLSX","dismiss":false,"pageNumbers":[1],"coordinatesList":[[54.992000579833984,395.15132117271423,22.908832550048828,10.998000144958496]]},{"pageNumber":0,"geomIndex":390,"lastGeomIndex":395,"textElement":"Italy","identifiers":{"ELEMENT_INDICES":"1"},"tableIndex":-1,"rowIndex":4,"cellIndex":9,"fontSize":12,"issueTypeId":"SmallFontSizeIssue:XLSX","dismiss":false,"pageNumbers":[1],"coordinatesList":[[10.0,10.0,2.0,2.0]]},{"pageNumber":0,"geomIndex":395,"lastGeomIndex":401,"textElement":"Europe","identifiers":{"ELEMENT_INDICES":"1"},"tableIndex":-1,"rowIndex":4,"cellIndex":10,"fontSize":12,"issueTypeId":"SmallFontSizeIssue:XLSX","dismiss":false,"pageNumbers":[1],"coordinatesList":[[10.0,10.0,2.0,2.0]]},{"pageNumber":0,"geomIndex":401,"lastGeomIndex":405,"textElement":"Fiat","identifiers":{"ELEMENT_INDICES":"1"},"tableIndex":-1,"rowIndex":5,"cellIndex":0,"fontSize":12,"issueTypeId":"SmallFontSizeIssue:XLSX","dismiss":false,"pageNumbers":[1],"coordinatesList":[[54.992000579833984,155.22630286216736,16.507999420166016,10.998000144958496]]},{"pageNumber":0,"geomIndex":405,"lastGeomIndex":418,"textElement":"500e Hatchback","identifiers":{"ELEMENT_INDICES":"1"},"tableIndex":-1,"rowIndex":5,"cellIndex":1,"fontSize":12,"issueTypeId":"SmallFontSizeIssue:XLSX","dismiss":false,"pageNumbers":[1],"coordinatesList":[[103.9749984741211,155.22630286216736,71.5309829711914,10.998000144958496]]},{"pageNumber":0,"geomIndex":417,"lastGeomIndex":421,"textElement":"2020","identifiers":{"ELEMENT_INDICES":"2"},"tableIndex":-1,"rowIndex":21,"cellIndex":2,"fontSize":12,"issueTypeId":"SmallFontSizeIssue:XLSX","dismiss":false,"pageNumbers":[1],"coordinatesList":[[344.15399169921875,410.14631628990173,22.260009765625,10.998000144958496]]},{"pageNumber":0,"geomIndex":418,"lastGeomIndex":462,"textElement":"_xlfn.XLOOKUP($B6,Sheet2!$B:$B,Sheet2!$C:$C)","identifiers":{"ELEMENT_INDICES":"1"},"tableIndex":-1,"rowIndex":5,"cellIndex":2,"fontSize":12,"issueTypeId":"SmallFontSizeIssue:XLSX","dismiss":false,"pageNumbers":[1],"coordinatesList":[[10.0,10.0,2.0,2.0]]},{"pageNumber":0,"geomIndex":421,"lastGeomIndex":426,"textElement":"Skoda","identifiers":{"ELEMENT_INDICES":"2"},"tableIndex":-1,"rowIndex":22,"cellIndex":0,"fontSize":12,"issueTypeId":"SmallFontSizeIssue:XLSX","dismiss":false,"pageNumbers":[1],"coordinatesList":[[54.992000579833984,320.17430090904236,26.879108428955078,10.998000144958496]]},{"pageNumber":0,"geomIndex":426,"lastGeomIndex":435,"textElement":"Enyaq iV 50","identifiers":{"ELEMENT_INDICES":"2"},"tableIndex":-1,"rowIndex":22,"cellIndex":1,"fontSize":12,"issueTypeId":"SmallFontSizeIssue:XLSX","dismiss":false,"pageNumbers":[1],"coordinatesList":[[103.9749984741211,710.0512998104095,52.009544372558594,10.998000144958496]]},{"pageNumber":0,"geomIndex":435,"lastGeomIndex":439,"textElement":"2021","identifiers":{"ELEMENT_INDICES":"2"},"tableIndex":-1,"rowIndex":22,"cellIndex":2,"fontSize":12,"issueTypeId":"SmallFontSizeIssue:XLSX","dismiss":false,"pageNumbers":[1],"coordinatesList":[[344.15399169921875,260.1932828426361,22.260009765625,10.998000144958496]]},{"pageNumber":0,"geomIndex":439,"lastGeomIndex":443,"textElement":"Audi","identifiers":{"ELEMENT_INDICES":"2"},"tableIndex":-1,"rowIndex":23,"cellIndex":0,"fontSize":12,"issueTypeId":"SmallFontSizeIssue:XLSX","dismiss":false,"pageNumbers":[1],"coordinatesList":[[54.992000579833984,575.0943143367767,20.423282623291016,10.998000144958496]]},{"pageNumber":0,"geomIndex":443,"lastGeomIndex":451,"textElement":"e-tron GT","identifiers":{"ELEMENT_INDICES":"2"},"tableIndex":-1,"rowIndex":23,"cellIndex":1,"fontSize":12,"issueTypeId":"SmallFontSizeIssue:XLSX","dismiss":false,"pageNumbers":[1],"coordinatesList":[[103.9749984741211,605.0843045711517,42.67224884033203,10.998000144958496]]},{"pageNumber":0,"geomIndex":451,"lastGeomIndex":455,"textElement":"2021","identifiers":{"ELEMENT_INDICES":"2"},"tableIndex":-1,"rowIndex":23,"cellIndex":2,"fontSize":12,"issueTypeId":"SmallFontSizeIssue:XLSX","dismiss":false,"pageNumbers":[1],"coordinatesList":[[344.15399169921875,260.1932828426361,22.260009765625,10.998000144958496]]},{"pageNumber":0,"geomIndex":455,"lastGeomIndex":460,"textElement":"Tesla","identifiers":{"ELEMENT_INDICES":"2"},"tableIndex":-1,"rowIndex":24,"cellIndex":0,"fontSize":12,"issueTypeId":"SmallFontSizeIssue:XLSX","dismiss":false,"pageNumbers":[1],"coordinatesList":[[54.992000579833984,395.15132117271423,22.908832550048828,10.998000144958496]]},{"pageNumber":0,"geomIndex":462,"lastGeomIndex":466,"textElement":"1330","identifiers":{"ELEMENT_INDICES":"1"},"tableIndex":-1,"rowIndex":5,"cellIndex":3,"fontSize":12,"issueTypeId":"SmallFontSizeIssue:XLSX","dismiss":false,"pageNumbers":[1],"coordinatesList":[[393.1369934082031,155.22630286216736,22.260009765625,10.998000144958496]]},{"pageNumber":0,"geomIndex":466,"lastGeomIndex":469,"textElement":"150","identifiers":{"ELEMENT_INDICES":"1"},"tableIndex":-1,"rowIndex":5,"cellIndex":4,"fontSize":12,"issueTypeId":"SmallFontSizeIssue:XLSX","dismiss":false,"pageNumbers":[1],"coordinatesList":[[447.7040100097656,440.13630652427673,16.69500732421875,10.998000144958496]]},{"pageNumber":0,"geomIndex":469,"lastGeomIndex":472,"textElement":"250","identifiers":{"ELEMENT_INDICES":"1"},"tableIndex":-1,"rowIndex":5,"cellIndex":5,"fontSize":12,"issueTypeId":"SmallFontSizeIssue:XLSX","dismiss":false,"pageNumbers":[1],"coordinatesList":[[504.0849914550781,440.13630652427673,16.694976806640625,10.998000144958496]]},{"pageNumber":0,"geomIndex":472,"lastGeomIndex":473,"textElement":"9","identifiers":{"ELEMENT_INDICES":"1"},"tableIndex":-1,"rowIndex":5,"cellIndex":6,"fontSize":12,"issueTypeId":"SmallFontSizeIssue:XLSX","dismiss":false,"pageNumbers":[1],"coordinatesList":[[509.6499938964844,380.1553189754486,5.564971923828125,10.998000144958496]]},{"pageNumber":0,"geomIndex":473,"lastGeomIndex":476,"textElement":"168","identifiers":{"ELEMENT_INDICES":"1"},"tableIndex":-1,"rowIndex":5,"cellIndex":7,"fontSize":12,"issueTypeId":"SmallFontSizeIssue:XLSX","dismiss":false,"pageNumbers":[1],"coordinatesList":[[10.0,10.0,2.0,2.0]]},{"pageNumber":0,"geomIndex":476,"lastGeomIndex":481,"textElement":"34900","identifiers":{"ELEMENT_INDICES":"1"},"tableIndex":-1,"rowIndex":5,"cellIndex":8,"fontSize":12,"issueTypeId":"SmallFontSizeIssue:XLSX","dismiss":false,"pageNumbers":[1],"coordinatesList":[[10.0,10.0,2.0,2.0]]},{"pageNumber":0,"geomIndex":481,"lastGeomIndex":486,"textElement":"Italy","identifiers":{"ELEMENT_INDICES":"1"},"tableIndex":-1,"rowIndex":5,"cellIndex":9,"fontSize":12,"issueTypeId":"SmallFontSizeIssue:XLSX","dismiss":false,"pageNumbers":[1],"coordinatesList":[[10.0,10.0,2.0,2.0]]},{"pageNumber":0,"geomIndex":486,"lastGeomIndex":492,"textElement":"Europe","identifiers":{"ELEMENT_INDICES":"1"},"tableIndex":-1,"rowIndex":5,"cellIndex":10,"fontSize":12,"issueTypeId":"SmallFontSizeIssue:XLSX","dismiss":false,"pageNumbers":[1],"coordinatesList":[[10.0,10.0,2.0,2.0]]},{"pageNumber":0,"geomIndex":486,"lastGeomIndex":490,"textElement":"2018","identifiers":{"ELEMENT_INDICES":"2"},"tableIndex":-1,"rowIndex":24,"cellIndex":2,"fontSize":12,"issueTypeId":"SmallFontSizeIssue:XLSX","dismiss":false,"pageNumbers":[1],"coordinatesList":[[344.15399169921875,500.118301153183,22.260009765625,10.998000144958496]]},{"pageNumber":0,"geomIndex":492,"lastGeomIndex":497,"textElement":"Lucid","identifiers":{"ELEMENT_INDICES":"1"},"tableIndex":-1,"rowIndex":6,"cellIndex":0,"fontSize":12,"issueTypeId":"SmallFontSizeIssue:XLSX","dismiss":false,"pageNumbers":[1],"coordinatesList":[[54.992000579833984,170.2223355770111,23.32675552368164,10.998000144958496]]},{"pageNumber":0,"geomIndex":497,"lastGeomIndex":500,"textElement":"Air","identifiers":{"ELEMENT_INDICES":"1"},"tableIndex":-1,"rowIndex":6,"cellIndex":1,"fontSize":12,"issueTypeId":"SmallFontSizeIssue:XLSX","dismiss":false,"pageNumbers":[1],"coordinatesList":[[103.9749984741211,170.2223355770111,12.702682495117188,10.998000144958496]]},{"pageNumber":0,"geomIndex":500,"lastGeomIndex":544,"textElement":"_xlfn.XLOOKUP($B7,Sheet2!$B:$B,Sheet2!$C:$C)","identifiers":{"ELEMENT_INDICES":"1"},"tableIndex":-1,"rowIndex":6,"cellIndex":2,"fontSize":12,"issueTypeId":"SmallFontSizeIssue:XLSX","dismiss":false,"pageNumbers":[1],"coordinatesList":[[10.0,10.0,2.0,2.0]]},{"pageNumber":0,"geomIndex":504,"lastGeomIndex":508,"textElement":"2020","identifiers":{"ELEMENT_INDICES":"2"},"tableIndex":-1,"rowIndex":25,"cellIndex":2,"fontSize":12,"issueTypeId":"SmallFontSizeIssue:XLSX","dismiss":false,"pageNumbers":[1],"coordinatesList":[[344.15399169921875,410.14631628990173,22.260009765625,10.998000144958496]]},{"pageNumber":0,"geomIndex":525,"lastGeomIndex":529,"textElement":"2020","identifiers":{"ELEMENT_INDICES":"2"},"tableIndex":-1,"rowIndex":26,"cellIndex":2,"fontSize":12,"issueTypeId":"SmallFontSizeIssue:XLSX","dismiss":false,"pageNumbers":[1],"coordinatesList":[[344.15399169921875,410.14631628990173,22.260009765625,10.998000144958496]]},{"pageNumber":0,"geomIndex":544,"lastGeomIndex":548,"textElement":"2374","identifiers":{"ELEMENT_INDICES":"1"},"tableIndex":-1,"rowIndex":6,"cellIndex":3,"fontSize":12,"issueTypeId":"SmallFontSizeIssue:XLSX","dismiss":false,"pageNumbers":[1],"coordinatesList":[[393.1369934082031,170.2223355770111,22.260009765625,10.998000144958496]]},{"pageNumber":0,"geomIndex":548,"lastGeomIndex":551,"textElement":"250","identifiers":{"ELEMENT_INDICES":"1"},"tableIndex":-1,"rowIndex":6,"cellIndex":4,"fontSize":12,"issueTypeId":"SmallFontSizeIssue:XLSX","dismiss":false,"pageNumbers":[1],"coordinatesList":[[504.0849914550781,440.13630652427673,16.694976806640625,10.998000144958496]]},{"pageNumber":0,"geomIndex":551,"lastGeomIndex":554,"textElement":"610","identifiers":{"ELEMENT_INDICES":"1"},"tableIndex":-1,"rowIndex":6,"cellIndex":5,"fontSize":12,"issueTypeId":"SmallFontSizeIssue:XLSX","dismiss":false,"pageNumbers":[1],"coordinatesList":[[504.0849914550781,170.2223355770111,16.694976806640625,10.998000144958496]]},{"pageNumber":0,"geomIndex":551,"lastGeomIndex":555,"textElement":"2020","identifiers":{"ELEMENT_INDICES":"2"},"tableIndex":-1,"rowIndex":27,"cellIndex":2,"fontSize":12,"issueTypeId":"SmallFontSizeIssue:XLSX","dismiss":false,"pageNumbers":[1],"coordinatesList":[[344.15399169921875,410.14631628990173,22.260009765625,10.998000144958496]]},{"pageNumber":0,"geomIndex":554,"lastGeomIndex":557,"textElement":"2.8","identifiers":{"ELEMENT_INDICES":"1"},"tableIndex":-1,"rowIndex":6,"cellIndex":6,"fontSize":12,"issueTypeId":"SmallFontSizeIssue:XLSX","dismiss":false,"pageNumbers":[1],"coordinatesList":[[10.0,10.0,2.0,2.0]]},{"pageNumber":0,"geomIndex":557,"lastGeomIndex":560,"textElement":"180","identifiers":{"ELEMENT_INDICES":"1"},"tableIndex":-1,"rowIndex":6,"cellIndex":7,"fontSize":12,"issueTypeId":"SmallFontSizeIssue:XLSX","dismiss":false,"pageNumbers":[1],"coordinatesList":[[447.7040100097656,380.1553189754486,16.69500732421875,10.998000144958496]]},{"pageNumber":0,"geomIndex":560,"lastGeomIndex":566,"textElement":"105000","identifiers":{"ELEMENT_INDICES":"1"},"tableIndex":-1,"rowIndex":6,"cellIndex":8,"fontSize":12,"issueTypeId":"SmallFontSizeIssue:XLSX","dismiss":false,"pageNumbers":[1],"coordinatesList":[[10.0,10.0,2.0,2.0]]},{"pageNumber":0,"geomIndex":565,"lastGeomIndex":569,"textElement":"2018","identifiers":{"ELEMENT_INDICES":"2"},"tableIndex":-1,"rowIndex":28,"cellIndex":2,"fontSize":12,"issueTypeId":"SmallFontSizeIssue:XLSX","dismiss":false,"pageNumbers":[1],"coordinatesList":[[344.15399169921875,500.118301153183,22.260009765625,10.998000144958496]]},{"pageNumber":0,"geomIndex":566,"lastGeomIndex":569,"textElement":"USA","identifiers":{"ELEMENT_INDICES":"1"},"tableIndex":-1,"rowIndex":6,"cellIndex":9,"fontSize":12,"issueTypeId":"SmallFontSizeIssue:XLSX","dismiss":false,"pageNumbers":[1],"coordinatesList":[[10.0,10.0,2.0,2.0]]},{"pageNumber":0,"geomIndex":569,"lastGeomIndex":576,"textElement":"America","identifiers":{"ELEMENT_INDICES":"1"},"tableIndex":-1,"rowIndex":6,"cellIndex":10,"fontSize":12,"issueTypeId":"SmallFontSizeIssue:XLSX","dismiss":false,"pageNumbers":[1],"coordinatesList":[[10.0,10.0,2.0,2.0]]},{"pageNumber":0,"geomIndex":569,"lastGeomIndex":576,"textElement":"Peugeot","identifiers":{"ELEMENT_INDICES":"2"},"tableIndex":-1,"rowIndex":29,"cellIndex":0,"fontSize":12,"issueTypeId":"SmallFontSizeIssue:XLSX","dismiss":false,"pageNumbers":[1],"coordinatesList":[[54.992000579833984,440.13630652427673,37.01926040649414,10.998000144958496]]},{"pageNumber":0,"geomIndex":576,"lastGeomIndex":580,"textElement":"Opel","identifiers":{"ELEMENT_INDICES":"1"},"tableIndex":-1,"rowIndex":7,"cellIndex":0,"fontSize":12,"issueTypeId":"SmallFontSizeIssue:XLSX","dismiss":false,"pageNumbers":[1],"coordinatesList":[[54.992000579833984,350.1652982234955,21.039165496826172,10.998000144958496]]},{"pageNumber":0,"geomIndex":576,"lastGeomIndex":585,"textElement":"e-2008 SUV","identifiers":{"ELEMENT_INDICES":"2"},"tableIndex":-1,"rowIndex":29,"cellIndex":1,"fontSize":12,"issueTypeId":"SmallFontSizeIssue:XLSX","dismiss":false,"pageNumbers":[1],"coordinatesList":[[103.9749984741211,440.13630652427673,51.910560607910156,10.998000144958496]]},{"pageNumber":0,"geomIndex":580,"lastGeomIndex":588,"textElement":"Ampera-e","identifiers":{"ELEMENT_INDICES":"1"},"tableIndex":-1,"rowIndex":7,"cellIndex":1,"fontSize":12,"issueTypeId":"SmallFontSizeIssue:XLSX","dismiss":false,"pageNumbers":[1],"coordinatesList":[[103.9749984741211,185.2173306941986,44.29993438720703,10.998000144958496]]},{"pageNumber":0,"geomIndex":585,"lastGeomIndex":589,"textElement":"2020","identifiers":{"ELEMENT_INDICES":"2"},"tableIndex":-1,"rowIndex":29,"cellIndex":2,"fontSize":12,"issueTypeId":"SmallFontSizeIssue:XLSX","dismiss":false,"pageNumbers":[1],"coordinatesList":[[344.15399169921875,410.14631628990173,22.260009765625,10.998000144958496]]},{"pageNumber":0,"geomIndex":588,"lastGeomIndex":632,"textElement":"_xlfn.XLOOKUP($B8,Sheet2!$B:$B,Sheet2!$C:$C)","identifiers":{"ELEMENT_INDICES":"1"},"tableIndex":-1,"rowIndex":7,"cellIndex":2,"fontSize":12,"issueTypeId":"SmallFontSizeIssue:XLSX","dismiss":false,"pageNumbers":[1],"coordinatesList":[[10.0,10.0,2.0,2.0]]},{"pageNumber":0,"geomIndex":589,"lastGeomIndex":593,"textElement":"Audi","identifiers":{"ELEMENT_INDICES":"2"},"tableIndex":-1,"rowIndex":30,"cellIndex":0,"fontSize":12,"issueTypeId":"SmallFontSizeIssue:XLSX","dismiss":false,"pageNumbers":[1],"coordinatesList":[[54.992000579833984,575.0943143367767,20.423282623291016,10.998000144958496]]},{"pageNumber":0,"geomIndex":593,"lastGeomIndex":608,"textElement":"e-tron 50 quattro","identifiers":{"ELEMENT_INDICES":"2"},"tableIndex":-1,"rowIndex":30,"cellIndex":1,"fontSize":12,"issueTypeId":"SmallFontSizeIssue:XLSX","dismiss":false,"pageNumbers":[1],"coordinatesList":[[103.9749984741211,575.0943143367767,77.41492462158203,10.998000144958496]]},{"pageNumber":0,"geomIndex":608,"lastGeomIndex":612,"textElement":"2019","identifiers":{"ELEMENT_INDICES":"2"},"tableIndex":-1,"rowIndex":30,"cellIndex":2,"fontSize":12,"issueTypeId":"SmallFontSizeIssue:XLSX","dismiss":false,"pageNumbers":[1],"coordinatesList":[[344.15399169921875,455.13230872154236,22.260009765625,10.998000144958496]]},{"pageNumber":0,"geomIndex":612,"lastGeomIndex":615,"textElement":"Kia","identifiers":{"ELEMENT_INDICES":"2"},"tableIndex":-1,"rowIndex":31,"cellIndex":0,"fontSize":12,"issueTypeId":"SmallFontSizeIssue:XLSX","dismiss":false,"pageNumbers":[1],"coordinatesList":[[54.992000579833984,500.118301153183,13.494548797607422,10.998000144958496]]},{"pageNumber":0,"geomIndex":615,"lastGeomIndex":626,"textElement":"e-Niro 64 kWh","identifiers":{"ELEMENT_INDICES":"2"},"tableIndex":-1,"rowIndex":31,"cellIndex":1,"fontSize":12,"issueTypeId":"SmallFontSizeIssue:XLSX","dismiss":false,"pageNumbers":[1],"coordinatesList":[[103.9749984741211,515.1132962703705,64.71222686767578,10.998000144958496]]},{"pageNumber":0,"geomIndex":626,"lastGeomIndex":630,"textElement":"2018","identifiers":{"ELEMENT_INDICES":"2"},"tableIndex":-1,"rowIndex":31,"cellIndex":2,"fontSize":12,"issueTypeId":"SmallFontSizeIssue:XLSX","dismiss":false,"pageNumbers":[1],"coordinatesList":[[344.15399169921875,500.118301153183,22.260009765625,10.998000144958496]]},{"pageNumber":0,"geomIndex":632,"lastGeomIndex":636,"textElement":"1616","identifiers":{"ELEMENT_INDICES":"1"},"tableIndex":-1,"rowIndex":7,"cellIndex":3,"fontSize":12,"issueTypeId":"SmallFontSizeIssue:XLSX","dismiss":false,"pageNumbers":[1],"coordinatesList":[[393.1369934082031,185.2173306941986,22.260009765625,10.998000144958496]]},{"pageNumber":0,"geomIndex":636,"lastGeomIndex":639,"textElement":"150","identifiers":{"ELEMENT_INDICES":"1"},"tableIndex":-1,"rowIndex":7,"cellIndex":4,"fontSize":12,"issueTypeId":"SmallFontSizeIssue:XLSX","dismiss":false,"pageNumbers":[1],"coordinatesList":[[447.7040100097656,440.13630652427673,16.69500732421875,10.998000144958496]]},{"pageNumber":0,"geomIndex":639,"lastGeomIndex":642,"textElement":"335","identifiers":{"ELEMENT_INDICES":"1"},"tableIndex":-1,"rowIndex":7,"cellIndex":5,"fontSize":12,"issueTypeId":"SmallFontSizeIssue:XLSX","dismiss":false,"pageNumbers":[1],"coordinatesList":[[504.0849914550781,635.0753018856049,16.694976806640625,10.998000144958496]]},{"pageNumber":0,"geomIndex":642,"lastGeomIndex":645,"textElement":"7.3","identifiers":{"ELEMENT_INDICES":"1"},"tableIndex":-1,"rowIndex":7,"cellIndex":6,"fontSize":12,"issueTypeId":"SmallFontSizeIssue:XLSX","dismiss":false,"pageNumbers":[1],"coordinatesList":[[10.0,10.0,2.0,2.0]]},{"pageNumber":0,"geomIndex":645,"lastGeomIndex":648,"textElement":"173","identifiers":{"ELEMENT_INDICES":"1"},"tableIndex":-1,"rowIndex":7,"cellIndex":7,"fontSize":12,"issueTypeId":"SmallFontSizeIssue:XLSX","dismiss":false,"pageNumbers":[1],"coordinatesList":[[10.0,10.0,2.0,2.0]]},{"pageNumber":0,"geomIndex":648,"lastGeomIndex":653,"textElement":"41906","identifiers":{"ELEMENT_INDICES":"1"},"tableIndex":-1,"rowIndex":7,"cellIndex":8,"fontSize":12,"issueTypeId":"SmallFontSizeIssue:XLSX","dismiss":false,"pageNumbers":[1],"coordinatesList":[[10.0,10.0,2.0,2.0]]},{"pageNumber":0,"geomIndex":648,"lastGeomIndex":652,"textElement":"2019","identifiers":{"ELEMENT_INDICES":"2"},"tableIndex":-1,"rowIndex":32,"cellIndex":2,"fontSize":12,"issueTypeId":"SmallFontSizeIssue:XLSX","dismiss":false,"pageNumbers":[1],"coordinatesList":[[344.15399169921875,455.13230872154236,22.260009765625,10.998000144958496]]},{"pageNumber":0,"geomIndex":652,"lastGeomIndex":657,"textElement":"Tesla","identifiers":{"ELEMENT_INDICES":"2"},"tableIndex":-1,"rowIndex":33,"cellIndex":0,"fontSize":12,"issueTypeId":"SmallFontSizeIssue:XLSX","dismiss":false,"pageNumbers":[1],"coordinatesList":[[54.992000579833984,395.15132117271423,22.908832550048828,10.998000144958496]]},{"pageNumber":0,"geomIndex":653,"lastGeomIndex":660,"textElement":"Germany","identifiers":{"ELEMENT_INDICES":"1"},"tableIndex":-1,"rowIndex":7,"cellIndex":9,"fontSize":12,"issueTypeId":"SmallFontSizeIssue:XLSX","dismiss":false,"pageNumbers":[1],"coordinatesList":[[10.0,10.0,2.0,2.0]]},{"pageNumber":0,"geomIndex":657,"lastGeomIndex":675,"textElement":"Cybertruck Tri Motor","identifiers":{"ELEMENT_INDICES":"2"},"tableIndex":-1,"rowIndex":33,"cellIndex":1,"fontSize":12,"issueTypeId":"SmallFontSizeIssue:XLSX","dismiss":false,"pageNumbers":[1],"coordinatesList":[[103.9749984741211,395.15132117271423,93.9668960571289,10.998000144958496]]},{"pageNumber":0,"geomIndex":660,"lastGeomIndex":666,"textElement":"Europe","identifiers":{"ELEMENT_INDICES":"1"},"tableIndex":-1,"rowIndex":7,"cellIndex":10,"fontSize":12,"issueTypeId":"SmallFontSizeIssue:XLSX","dismiss":false,"pageNumbers":[1],"coordinatesList":[[10.0,10.0,2.0,2.0]]},{"pageNumber":0,"geomIndex":666,"lastGeomIndex":672,"textElement":"Nissan","identifiers":{"ELEMENT_INDICES":"1"},"tableIndex":-1,"rowIndex":8,"cellIndex":0,"fontSize":12,"issueTypeId":"SmallFontSizeIssue:XLSX","dismiss":false,"pageNumbers":[1],"coordinatesList":[[54.992000579833984,530.108291387558,29.25467300415039,10.998000144958496]]},{"pageNumber":0,"geomIndex":672,"lastGeomIndex":682,"textElement":"Ariya 63kWh","identifiers":{"ELEMENT_INDICES":"1"},"tableIndex":-1,"rowIndex":8,"cellIndex":1,"fontSize":12,"issueTypeId":"SmallFontSizeIssue:XLSX","dismiss":false,"pageNumbers":[1],"coordinatesList":[[103.9749984741211,200.2123258113861,57.101600646972656,10.998000144958496]]},{"pageNumber":0,"geomIndex":682,"lastGeomIndex":726,"textElement":"_xlfn.XLOOKUP($B9,Sheet2!$B:$B,Sheet2!$C:$C)","identifiers":{"ELEMENT_INDICES":"1"},"tableIndex":-1,"rowIndex":8,"cellIndex":2,"fontSize":12,"issueTypeId":"SmallFontSizeIssue:XLSX","dismiss":false,"pageNumbers":[1],"coordinatesList":[[10.0,10.0,2.0,2.0]]},{"pageNumber":0,"geomIndex":699,"lastGeomIndex":703,"textElement":"2020","identifiers":{"ELEMENT_INDICES":"2"},"tableIndex":-1,"rowIndex":34,"cellIndex":2,"fontSize":12,"issueTypeId":"SmallFontSizeIssue:XLSX","dismiss":false,"pageNumbers":[1],"coordinatesList":[[344.15399169921875,410.14631628990173,22.260009765625,10.998000144958496]]},{"pageNumber":0,"geomIndex":703,"lastGeomIndex":709,"textElement":"Nissan","identifiers":{"ELEMENT_INDICES":"2"},"tableIndex":-1,"rowIndex":35,"cellIndex":0,"fontSize":12,"issueTypeId":"SmallFontSizeIssue:XLSX","dismiss":false,"pageNumbers":[1],"coordinatesList":[[54.992000579833984,530.108291387558,29.25467300415039,10.998000144958496]]},{"pageNumber":0,"geomIndex":715,"lastGeomIndex":719,"textElement":"2019","identifiers":{"ELEMENT_INDICES":"2"},"tableIndex":-1,"rowIndex":35,"cellIndex":2,"fontSize":12,"issueTypeId":"SmallFontSizeIssue:XLSX","dismiss":false,"pageNumbers":[1],"coordinatesList":[[344.15399169921875,455.13230872154236,22.260009765625,10.998000144958496]]},{"pageNumber":0,"geomIndex":726,"lastGeomIndex":730,"textElement":"2030","identifiers":{"ELEMENT_INDICES":"1"},"tableIndex":-1,"rowIndex":8,"cellIndex":3,"fontSize":12,"issueTypeId":"SmallFontSizeIssue:XLSX","dismiss":false,"pageNumbers":[1],"coordinatesList":[[393.1369934082031,200.2123258113861,22.260009765625,10.998000144958496]]},{"pageNumber":0,"geomIndex":730,"lastGeomIndex":733,"textElement":"160","identifiers":{"ELEMENT_INDICES":"1"},"tableIndex":-1,"rowIndex":8,"cellIndex":4,"fontSize":12,"issueTypeId":"SmallFontSizeIssue:XLSX","dismiss":false,"pageNumbers":[1],"coordinatesList":[[447.7040100097656,305.17930579185486,16.69500732421875,10.998000144958496]]},{"pageNumber":0,"geomIndex":730,"lastGeomIndex":734,"textElement":"2020","identifiers":{"ELEMENT_INDICES":"2"},"tableIndex":-1,"rowIndex":36,"cellIndex":2,"fontSize":12,"issueTypeId":"SmallFontSizeIssue:XLSX","dismiss":false,"pageNumbers":[1],"coordinatesList":[[344.15399169921875,410.14631628990173,22.260009765625,10.998000144958496]]},{"pageNumber":0,"geomIndex":733,"lastGeomIndex":736,"textElement":"330","identifiers":{"ELEMENT_INDICES":"1"},"tableIndex":-1,"rowIndex":8,"cellIndex":5,"fontSize":12,"issueTypeId":"SmallFontSizeIssue:XLSX","dismiss":false,"pageNumbers":[1],"coordinatesList":[[504.0849914550781,200.2123258113861,16.694976806640625,10.998000144958496]]},{"pageNumber":0,"geomIndex":734,"lastGeomIndex":739,"textElement":"CUPRA","identifiers":{"ELEMENT_INDICES":"2"},"tableIndex":-1,"rowIndex":37,"cellIndex":0,"fontSize":12,"issueTypeId":"SmallFontSizeIssue:XLSX","dismiss":false,"pageNumbers":[1],"coordinatesList":[[54.992000579833984,695.056304693222,30.904376983642578,10.998000144958496]]},{"pageNumber":0,"geomIndex":736,"lastGeomIndex":739,"textElement":"7.5","identifiers":{"ELEMENT_INDICES":"1"},"tableIndex":-1,"rowIndex":8,"cellIndex":6,"fontSize":12,"issueTypeId":"SmallFontSizeIssue:XLSX","dismiss":false,"pageNumbers":[1],"coordinatesList":[[10.0,10.0,2.0,2.0]]},{"pageNumber":0,"geomIndex":739,"lastGeomIndex":742,"textElement":"191","identifiers":{"ELEMENT_INDICES":"1"},"tableIndex":-1,"rowIndex":8,"cellIndex":7,"fontSize":12,"issueTypeId":"SmallFontSizeIssue:XLSX","dismiss":false,"pageNumbers":[1],"coordinatesList":[[355.28399658203125,455.13230872154236,43.417999267578125,10.998000144958496]]},{"pageNumber":0,"geomIndex":739,"lastGeomIndex":746,"textElement":"el-Born","identifiers":{"ELEMENT_INDICES":"2"},"tableIndex":-1,"rowIndex":37,"cellIndex":1,"fontSize":12,"issueTypeId":"SmallFontSizeIssue:XLSX","dismiss":false,"pageNumbers":[1],"coordinatesList":[[103.9749984741211,695.056304693222,32.71904754638672,10.998000144958496]]},{"pageNumber":0,"geomIndex":742,"lastGeomIndex":747,"textElement":"45000","identifiers":{"ELEMENT_INDICES":"1"},"tableIndex":-1,"rowIndex":8,"cellIndex":8,"fontSize":12,"issueTypeId":"SmallFontSizeIssue:XLSX","dismiss":false,"pageNumbers":[1],"coordinatesList":[[10.0,10.0,2.0,2.0]]},{"pageNumber":0,"geomIndex":746,"lastGeomIndex":750,"textElement":"2021","identifiers":{"ELEMENT_INDICES":"2"},"tableIndex":-1,"rowIndex":37,"cellIndex":2,"fontSize":12,"issueTypeId":"SmallFontSizeIssue:XLSX","dismiss":false,"pageNumbers":[1],"coordinatesList":[[344.15399169921875,260.1932828426361,22.260009765625,10.998000144958496]]},{"pageNumber":0,"geomIndex":747,"lastGeomIndex":752,"textElement":"Japan","identifiers":{"ELEMENT_INDICES":"1"},"tableIndex":-1,"rowIndex":8,"cellIndex":9,"fontSize":12,"issueTypeId":"SmallFontSizeIssue:XLSX","dismiss":false,"pageNumbers":[1],"coordinatesList":[[10.0,10.0,2.0,2.0]]},{"pageNumber":0,"geomIndex":752,"lastGeomIndex":756,"textElement":"Asia","identifiers":{"ELEMENT_INDICES":"1"},"tableIndex":-1,"rowIndex":8,"cellIndex":10,"fontSize":12,"issueTypeId":"SmallFontSizeIssue:XLSX","dismiss":false,"pageNumbers":[1],"coordinatesList":[[10.0,10.0,2.0,2.0]]},{"pageNumber":0,"geomIndex":756,"lastGeomIndex":762,"textElement":"Nissan","identifiers":{"ELEMENT_INDICES":"1"},"tableIndex":-1,"rowIndex":9,"cellIndex":0,"fontSize":12,"issueTypeId":"SmallFontSizeIssue:XLSX","dismiss":false,"pageNumbers":[1],"coordinatesList":[[54.992000579833984,530.108291387558,29.25467300415039,10.998000144958496]]},{"pageNumber":0,"geomIndex":762,"lastGeomIndex":772,"textElement":"Ariya 87kWh","identifiers":{"ELEMENT_INDICES":"1"},"tableIndex":-1,"rowIndex":9,"cellIndex":1,"fontSize":12,"issueTypeId":"SmallFontSizeIssue:XLSX","dismiss":false,"pageNumbers":[1],"coordinatesList":[[103.9749984741211,215.2073209285736,57.101600646972656,10.998000144958496]]},{"pageNumber":0,"geomIndex":768,"lastGeomIndex":772,"textElement":"2019","identifiers":{"ELEMENT_INDICES":"2"},"tableIndex":-1,"rowIndex":38,"cellIndex":2,"fontSize":12,"issueTypeId":"SmallFontSizeIssue:XLSX","dismiss":false,"pageNumbers":[1],"coordinatesList":[[344.15399169921875,455.13230872154236,22.260009765625,10.998000144958496]]},{"pageNumber":0,"geomIndex":772,"lastGeomIndex":817,"textElement":"_xlfn.XLOOKUP($B10,Sheet2!$B:$B,Sheet2!$C:$C)","identifiers":{"ELEMENT_INDICES":"1"},"tableIndex":-1,"rowIndex":9,"cellIndex":2,"fontSize":12,"issueTypeId":"SmallFontSizeIssue:XLSX","dismiss":false,"pageNumbers":[1],"coordinatesList":[[10.0,10.0,2.0,2.0]]},{"pageNumber":0,"geomIndex":783,"lastGeomIndex":787,"textElement":"2021","identifiers":{"ELEMENT_INDICES":"2"},"tableIndex":-1,"rowIndex":39,"cellIndex":2,"fontSize":12,"issueTypeId":"SmallFontSizeIssue:XLSX","dismiss":false,"pageNumbers":[1],"coordinatesList":[[344.15399169921875,260.1932828426361,22.260009765625,10.998000144958496]]},{"pageNumber":0,"geomIndex":787,"lastGeomIndex":792,"textElement":"Tesla","identifiers":{"ELEMENT_INDICES":"2"},"tableIndex":-1,"rowIndex":40,"cellIndex":0,"fontSize":12,"issueTypeId":"SmallFontSizeIssue:XLSX","dismiss":false,"pageNumbers":[1],"coordinatesList":[[54.992000579833984,395.15132117271423,22.908832550048828,10.998000144958496]]},{"pageNumber":0,"geomIndex":807,"lastGeomIndex":811,"textElement":"2021","identifiers":{"ELEMENT_INDICES":"2"},"tableIndex":-1,"rowIndex":40,"cellIndex":2,"fontSize":12,"issueTypeId":"SmallFontSizeIssue:XLSX","dismiss":false,"pageNumbers":[1],"coordinatesList":[[344.15399169921875,260.1932828426361,22.260009765625,10.998000144958496]]},{"pageNumber":0,"geomIndex":817,"lastGeomIndex":821,"textElement":"2121","identifiers":{"ELEMENT_INDICES":"1"},"tableIndex":-1,"rowIndex":9,"cellIndex":3,"fontSize":12,"issueTypeId":"SmallFontSizeIssue:XLSX","dismiss":false,"pageNumbers":[1],"coordinatesList":[[355.28399658203125,230.2032926082611,48.983001708984375,10.998000144958496]]},{"pageNumber":0,"geomIndex":821,"lastGeomIndex":824,"textElement":"160","identifiers":{"ELEMENT_INDICES":"1"},"tableIndex":-1,"rowIndex":9,"cellIndex":4,"fontSize":12,"issueTypeId":"SmallFontSizeIssue:XLSX","dismiss":false,"pageNumbers":[1],"coordinatesList":[[447.7040100097656,305.17930579185486,16.69500732421875,10.998000144958496]]},{"pageNumber":0,"geomIndex":824,"lastGeomIndex":827,"textElement":"440","identifiers":{"ELEMENT_INDICES":"1"},"tableIndex":-1,"rowIndex":9,"cellIndex":5,"fontSize":12,"issueTypeId":"SmallFontSizeIssue:XLSX","dismiss":false,"pageNumbers":[1],"coordinatesList":[[504.0849914550781,215.2073209285736,16.694976806640625,10.998000144958496]]},{"pageNumber":0,"geomIndex":827,"lastGeomIndex":830,"textElement":"7.6","identifiers":{"ELEMENT_INDICES":"1"},"tableIndex":-1,"rowIndex":9,"cellIndex":6,"fontSize":12,"issueTypeId":"SmallFontSizeIssue:XLSX","dismiss":false,"pageNumbers":[1],"coordinatesList":[[10.0,10.0,2.0,2.0]]},{"pageNumber":0,"geomIndex":830,"lastGeomIndex":833,"textElement":"198","identifiers":{"ELEMENT_INDICES":"1"},"tableIndex":-1,"rowIndex":9,"cellIndex":7,"fontSize":12,"issueTypeId":"SmallFontSizeIssue:XLSX","dismiss":false,"pageNumbers":[1],"coordinatesList":[[10.0,10.0,2.0,2.0]]},{"pageNumber":0,"geomIndex":833,"lastGeomIndex":838,"textElement":"50000","identifiers":{"ELEMENT_INDICES":"1"},"tableIndex":-1,"rowIndex":9,"cellIndex":8,"fontSize":12,"issueTypeId":"SmallFontSizeIssue:XLSX","dismiss":false,"pageNumbers":[1],"coordinatesList":[[10.0,10.0,2.0,2.0]]},{"pageNumber":0,"geomIndex":835,"lastGeomIndex":839,"textElement":"2018","identifiers":{"ELEMENT_INDICES":"2"},"tableIndex":-1,"rowIndex":41,"cellIndex":2,"fontSize":12,"issueTypeId":"SmallFontSizeIssue:XLSX","dismiss":false,"pageNumbers":[1],"coordinatesList":[[344.15399169921875,500.118301153183,22.260009765625,10.998000144958496]]},{"pageNumber":0,"geomIndex":838,"lastGeomIndex":843,"textElement":"Japan","identifiers":{"ELEMENT_INDICES":"1"},"tableIndex":-1,"rowIndex":9,"cellIndex":9,"fontSize":12,"issueTypeId":"SmallFontSizeIssue:XLSX","dismiss":false,"pageNumbers":[1],"coordinatesList":[[10.0,10.0,2.0,2.0]]},{"pageNumber":0,"geomIndex":839,"lastGeomIndex":843,"textElement":"Audi","identifiers":{"ELEMENT_INDICES":"2"},"tableIndex":-1,"rowIndex":42,"cellIndex":0,"fontSize":12,"issueTypeId":"SmallFontSizeIssue:XLSX","dismiss":false,"pageNumbers":[1],"coordinatesList":[[54.992000579833984,575.0943143367767,20.423282623291016,10.998000144958496]]},{"pageNumber":0,"geomIndex":843,"lastGeomIndex":847,"textElement":"Asia","identifiers":{"ELEMENT_INDICES":"1"},"tableIndex":-1,"rowIndex":9,"cellIndex":10,"fontSize":12,"issueTypeId":"SmallFontSizeIssue:XLSX","dismiss":false,"pageNumbers":[1],"coordinatesList":[[10.0,10.0,2.0,2.0]]},{"pageNumber":0,"geomIndex":843,"lastGeomIndex":867,"textElement":"e-tron Sportback 55 quattro","identifiers":{"ELEMENT_INDICES":"2"},"tableIndex":-1,"rowIndex":42,"cellIndex":1,"fontSize":12,"issueTypeId":"SmallFontSizeIssue:XLSX","dismiss":false,"pageNumbers":[1],"coordinatesList":[[103.9749984741211,665.066299200058,124.69532012939453,10.998000144958496]]},{"pageNumber":0,"geomIndex":847,"lastGeomIndex":853,"textElement":"Nissan","identifiers":{"ELEMENT_INDICES":"1"},"tableIndex":-1,"rowIndex":10,"cellIndex":0,"fontSize":12,"issueTypeId":"SmallFontSizeIssue:XLSX","dismiss":false,"pageNumbers":[1],"coordinatesList":[[54.992000579833984,530.108291387558,29.25467300415039,10.998000144958496]]},{"pageNumber":0,"geomIndex":853,"lastGeomIndex":870,"textElement":"Ariya e-4ORCE 63kWh","identifiers":{"ELEMENT_INDICES":"1"},"tableIndex":-1,"rowIndex":10,"cellIndex":1,"fontSize":12,"issueTypeId":"SmallFontSizeIssue:XLSX","dismiss":false,"pageNumbers":[1],"coordinatesList":[[103.9749984741211,230.2032926082611,98.4540786743164,10.998000144958496]]},{"pageNumber":0,"geomIndex":867,"lastGeomIndex":871,"textElement":"2020","identifiers":{"ELEMENT_INDICES":"2"},"tableIndex":-1,"rowIndex":42,"cellIndex":2,"fontSize":12,"issueTypeId":"SmallFontSizeIssue:XLSX","dismiss":false,"pageNumbers":[1],"coordinatesList":[[344.15399169921875,410.14631628990173,22.260009765625,10.998000144958496]]},{"pageNumber":0,"geomIndex":870,"lastGeomIndex":915,"textElement":"_xlfn.XLOOKUP($B11,Sheet2!$B:$B,Sheet2!$C:$C)","identifiers":{"ELEMENT_INDICES":"1"},"tableIndex":-1,"rowIndex":10,"cellIndex":2,"fontSize":12,"issueTypeId":"SmallFontSizeIssue:XLSX","dismiss":false,"pageNumbers":[1],"coordinatesList":[[10.0,10.0,2.0,2.0]]},{"pageNumber":0,"geomIndex":871,"lastGeomIndex":876,"textElement":"Skoda","identifiers":{"ELEMENT_INDICES":"2"},"tableIndex":-1,"rowIndex":43,"cellIndex":0,"fontSize":12,"issueTypeId":"SmallFontSizeIssue:XLSX","dismiss":false,"pageNumbers":[1],"coordinatesList":[[54.992000579833984,320.17430090904236,26.879108428955078,10.998000144958496]]},{"pageNumber":0,"geomIndex":876,"lastGeomIndex":885,"textElement":"CITIGOe iV","identifiers":{"ELEMENT_INDICES":"2"},"tableIndex":-1,"rowIndex":43,"cellIndex":1,"fontSize":12,"issueTypeId":"SmallFontSizeIssue:XLSX","dismiss":false,"pageNumbers":[1],"coordinatesList":[[103.9749984741211,320.17430090904236,47.654335021972656,10.998000144958496]]},{"pageNumber":0,"geomIndex":885,"lastGeomIndex":889,"textElement":"2019","identifiers":{"ELEMENT_INDICES":"2"},"tableIndex":-1,"rowIndex":43,"cellIndex":2,"fontSize":12,"issueTypeId":"SmallFontSizeIssue:XLSX","dismiss":false,"pageNumbers":[1],"coordinatesList":[[344.15399169921875,455.13230872154236,22.260009765625,10.998000144958496]]},{"pageNumber":0,"geomIndex":904,"lastGeomIndex":908,"textElement":"2019","identifiers":{"ELEMENT_INDICES":"2"},"tableIndex":-1,"rowIndex":44,"cellIndex":2,"fontSize":12,"issueTypeId":"SmallFontSizeIssue:XLSX","dismiss":false,"pageNumbers":[1],"coordinatesList":[[344.15399169921875,455.13230872154236,22.260009765625,10.998000144958496]]},{"pageNumber":0,"geomIndex":908,"lastGeomIndex":911,"textElement":"Kia","identifiers":{"ELEMENT_INDICES":"2"},"tableIndex":-1,"rowIndex":45,"cellIndex":0,"fontSize":12,"issueTypeId":"SmallFontSizeIssue:XLSX","dismiss":false,"pageNumbers":[1],"coordinatesList":[[54.992000579833984,500.118301153183,13.494548797607422,10.998000144958496]]},{"pageNumber":0,"geomIndex":911,"lastGeomIndex":922,"textElement":"e-Soul 64 kWh","identifiers":{"ELEMENT_INDICES":"2"},"tableIndex":-1,"rowIndex":45,"cellIndex":1,"fontSize":12,"issueTypeId":"SmallFontSizeIssue:XLSX","dismiss":false,"pageNumbers":[1],"coordinatesList":[[103.9749984741211,560.0993192195892,64.61324310302734,10.998000144958496]]},{"pageNumber":0,"geomIndex":915,"lastGeomIndex":919,"textElement":"2135","identifiers":{"ELEMENT_INDICES":"1"},"tableIndex":-1,"rowIndex":10,"cellIndex":3,"fontSize":12,"issueTypeId":"SmallFontSizeIssue:XLSX","dismiss":false,"pageNumbers":[1],"coordinatesList":[[393.1369934082031,230.2032926082611,22.260009765625,10.998000144958496]]},{"pageNumber":0,"geomIndex":919,"lastGeomIndex":922,"textElement":"200","identifiers":{"ELEMENT_INDICES":"1"},"tableIndex":-1,"rowIndex":10,"cellIndex":4,"fontSize":12,"issueTypeId":"SmallFontSizeIssue:XLSX","dismiss":false,"pageNumbers":[1],"coordinatesList":[[112.80638885498047,440.13630652427673,16.694969177246094,10.998000144958496]]},{"pageNumber":0,"geomIndex":922,"lastGeomIndex":925,"textElement":"325","identifiers":{"ELEMENT_INDICES":"1"},"tableIndex":-1,"rowIndex":10,"cellIndex":5,"fontSize":12,"issueTypeId":"SmallFontSizeIssue:XLSX","dismiss":false,"pageNumbers":[1],"coordinatesList":[[504.0849914550781,230.2032926082611,16.694976806640625,10.998000144958496]]},{"pageNumber":0,"geomIndex":922,"lastGeomIndex":926,"textElement":"2019","identifiers":{"ELEMENT_INDICES":"2"},"tableIndex":-1,"rowIndex":45,"cellIndex":2,"fontSize":12,"issueTypeId":"SmallFontSizeIssue:XLSX","dismiss":false,"pageNumbers":[1],"coordinatesList":[[344.15399169921875,455.13230872154236,22.260009765625,10.998000144958496]]},{"pageNumber":0,"geomIndex":925,"lastGeomIndex":928,"textElement":"5.9","identifiers":{"ELEMENT_INDICES":"1"},"tableIndex":-1,"rowIndex":10,"cellIndex":6,"fontSize":12,"issueTypeId":"SmallFontSizeIssue:XLSX","dismiss":false,"pageNumbers":[1],"coordinatesList":[[10.0,10.0,2.0,2.0]]},{"pageNumber":0,"geomIndex":926,"lastGeomIndex":930,"textElement":"Opel","identifiers":{"ELEMENT_INDICES":"2"},"tableIndex":-1,"rowIndex":46,"cellIndex":0,"fontSize":12,"issueTypeId":"SmallFontSizeIssue:XLSX","dismiss":false,"pageNumbers":[1],"coordinatesList":[[54.992000579833984,350.1652982234955,21.039165496826172,10.998000144958496]]},{"pageNumber":0,"geomIndex":928,"lastGeomIndex":931,"textElement":"194","identifiers":{"ELEMENT_INDICES":"1"},"tableIndex":-1,"rowIndex":10,"cellIndex":7,"fontSize":12,"issueTypeId":"SmallFontSizeIssue:XLSX","dismiss":false,"pageNumbers":[1],"coordinatesList":[[10.0,10.0,2.0,2.0]]},{"pageNumber":0,"geomIndex":930,"lastGeomIndex":938,"textElement":"Ampera-e","identifiers":{"ELEMENT_INDICES":"2"},"tableIndex":-1,"rowIndex":46,"cellIndex":1,"fontSize":12,"issueTypeId":"SmallFontSizeIssue:XLSX","dismiss":false,"pageNumbers":[1],"coordinatesList":[[103.9749984741211,185.2173306941986,44.29993438720703,10.998000144958496]]},{"pageNumber":0,"geomIndex":931,"lastGeomIndex":936,"textElement":"50000","identifiers":{"ELEMENT_INDICES":"1"},"tableIndex":-1,"rowIndex":10,"cellIndex":8,"fontSize":12,"issueTypeId":"SmallFontSizeIssue:XLSX","dismiss":false,"pageNumbers":[1],"coordinatesList":[[10.0,10.0,2.0,2.0]]},{"pageNumber":0,"geomIndex":936,"lastGeomIndex":941,"textElement":"Japan","identifiers":{"ELEMENT_INDICES":"1"},"tableIndex":-1,"rowIndex":10,"cellIndex":9,"fontSize":12,"issueTypeId":"SmallFontSizeIssue:XLSX","dismiss":false,"pageNumbers":[1],"coordinatesList":[[10.0,10.0,2.0,2.0]]},{"pageNumber":0,"geomIndex":938,"lastGeomIndex":942,"textElement":"2017","identifiers":{"ELEMENT_INDICES":"2"},"tableIndex":-1,"rowIndex":46,"cellIndex":2,"fontSize":12,"issueTypeId":"SmallFontSizeIssue:XLSX","dismiss":false,"pageNumbers":[1],"coordinatesList":[[344.15399169921875,185.2173306941986,22.260009765625,10.998000144958496]]},{"pageNumber":0,"geomIndex":941,"lastGeomIndex":945,"textElement":"Asia","identifiers":{"ELEMENT_INDICES":"1"},"tableIndex":-1,"rowIndex":10,"cellIndex":10,"fontSize":12,"issueTypeId":"SmallFontSizeIssue:XLSX","dismiss":false,"pageNumbers":[1],"coordinatesList":[[10.0,10.0,2.0,2.0]]},{"pageNumber":0,"geomIndex":945,"lastGeomIndex":951,"textElement":"Nissan","identifiers":{"ELEMENT_INDICES":"1"},"tableIndex":-1,"rowIndex":11,"cellIndex":0,"fontSize":12,"issueTypeId":"SmallFontSizeIssue:XLSX","dismiss":false,"pageNumbers":[1],"coordinatesList":[[54.992000579833984,530.108291387558,29.25467300415039,10.998000144958496]]},{"pageNumber":0,"geomIndex":951,"lastGeomIndex":968,"textElement":"Ariya e-4ORCE 87kWh","identifiers":{"ELEMENT_INDICES":"1"},"tableIndex":-1,"rowIndex":11,"cellIndex":1,"fontSize":12,"issueTypeId":"SmallFontSizeIssue:XLSX","dismiss":false,"pageNumbers":[1],"coordinatesList":[[103.9749984741211,260.1932828426361,98.4540786743164,10.998000144958496]]},{"pageNumber":0,"geomIndex":957,"lastGeomIndex":961,"textElement":"2019","identifiers":{"ELEMENT_INDICES":"2"},"tableIndex":-1,"rowIndex":47,"cellIndex":2,"fontSize":12,"issueTypeId":"SmallFontSizeIssue:XLSX","dismiss":false,"pageNumbers":[1],"coordinatesList":[[344.15399169921875,455.13230872154236,22.260009765625,10.998000144958496]]},{"pageNumber":0,"geomIndex":968,"lastGeomIndex":1013,"textElement":"_xlfn.XLOOKUP($B12,Sheet2!$B:$B,Sheet2!$C:$C)","identifiers":{"ELEMENT_INDICES":"1"},"tableIndex":-1,"rowIndex":11,"cellIndex":2,"fontSize":12,"issueTypeId":"SmallFontSizeIssue:XLSX","dismiss":false,"pageNumbers":[1],"coordinatesList":[[10.0,10.0,2.0,2.0]]},{"pageNumber":0,"geomIndex":995,"lastGeomIndex":999,"textElement":"2020","identifiers":{"ELEMENT_INDICES":"2"},"tableIndex":-1,"rowIndex":49,"cellIndex":2,"fontSize":12,"issueTypeId":"SmallFontSizeIssue:XLSX","dismiss":false,"pageNumbers":[1],"coordinatesList":[[344.15399169921875,410.14631628990173,22.260009765625,10.998000144958496]]},{"pageNumber":0,"geomIndex":999,"lastGeomIndex":1003,"textElement":"Audi","identifiers":{"ELEMENT_INDICES":"2"},"tableIndex":-1,"rowIndex":50,"cellIndex":0,"fontSize":12,"issueTypeId":"SmallFontSizeIssue:XLSX","dismiss":false,"pageNumbers":[1],"coordinatesList":[[54.992000579833984,575.0943143367767,20.423282623291016,10.998000144958496]]},{"pageNumber":0,"geomIndex":1003,"lastGeomIndex":1018,"textElement":"e-tron 55 quattro","identifiers":{"ELEMENT_INDICES":"2"},"tableIndex":-1,"rowIndex":50,"cellIndex":1,"fontSize":12,"issueTypeId":"SmallFontSizeIssue:XLSX","dismiss":false,"pageNumbers":[1],"coordinatesList":[[103.9749984741211,590.0893094539642,77.41492462158203,10.998000144958496]]},{"pageNumber":0,"geomIndex":1013,"lastGeomIndex":1017,"textElement":"2275","identifiers":{"ELEMENT_INDICES":"1"},"tableIndex":-1,"rowIndex":11,"cellIndex":3,"fontSize":12,"issueTypeId":"SmallFontSizeIssue:XLSX","dismiss":false,"pageNumbers":[1],"coordinatesList":[[393.1369934082031,260.1932828426361,22.260009765625,10.998000144958496]]},{"pageNumber":0,"geomIndex":1017,"lastGeomIndex":1020,"textElement":"200","identifiers":{"ELEMENT_INDICES":"1"},"tableIndex":-1,"rowIndex":11,"cellIndex":4,"fontSize":12,"issueTypeId":"SmallFontSizeIssue:XLSX","dismiss":false,"pageNumbers":[1],"coordinatesList":[[112.80638885498047,440.13630652427673,16.694969177246094,10.998000144958496]]},{"pageNumber":0,"geomIndex":1018,"lastGeomIndex":1022,"textElement":"2019","identifiers":{"ELEMENT_INDICES":"2"},"tableIndex":-1,"rowIndex":50,"cellIndex":2,"fontSize":12,"issueTypeId":"SmallFontSizeIssue:XLSX","dismiss":false,"pageNumbers":[1],"coordinatesList":[[344.15399169921875,455.13230872154236,22.260009765625,10.998000144958496]]},{"pageNumber":0,"geomIndex":1020,"lastGeomIndex":1023,"textElement":"420","identifiers":{"ELEMENT_INDICES":"1"},"tableIndex":-1,"rowIndex":11,"cellIndex":5,"fontSize":12,"issueTypeId":"SmallFontSizeIssue:XLSX","dismiss":false,"pageNumbers":[1],"coordinatesList":[[118.66831970214844,470.12730383872986,236.6156768798828,10.998000144958496]]},{"pageNumber":0,"geomIndex":1022,"lastGeomIndex":1027,"textElement":"Tesla","identifiers":{"ELEMENT_INDICES":"2"},"tableIndex":-1,"rowIndex":51,"cellIndex":0,"fontSize":12,"issueTypeId":"SmallFontSizeIssue:XLSX","dismiss":false,"pageNumbers":[1],"coordinatesList":[[54.992000579833984,395.15132117271423,22.908832550048828,10.998000144958496]]},{"pageNumber":0,"geomIndex":1023,"lastGeomIndex":1026,"textElement":"5.7","identifiers":{"ELEMENT_INDICES":"1"},"tableIndex":-1,"rowIndex":11,"cellIndex":6,"fontSize":12,"issueTypeId":"SmallFontSizeIssue:XLSX","dismiss":false,"pageNumbers":[1],"coordinatesList":[[10.0,10.0,2.0,2.0]]},{"pageNumber":0,"geomIndex":1026,"lastGeomIndex":1029,"textElement":"207","identifiers":{"ELEMENT_INDICES":"1"},"tableIndex":-1,"rowIndex":11,"cellIndex":7,"fontSize":12,"issueTypeId":"SmallFontSizeIssue:XLSX","dismiss":false,"pageNumbers":[1],"coordinatesList":[[393.1369934082031,740.0423047542572,16.69500732421875,10.998000144958496]]},{"pageNumber":0,"geomIndex":1029,"lastGeomIndex":1034,"textElement":"57500","identifiers":{"ELEMENT_INDICES":"1"},"tableIndex":-1,"rowIndex":11,"cellIndex":8,"fontSize":12,"issueTypeId":"SmallFontSizeIssue:XLSX","dismiss":false,"pageNumbers":[1],"coordinatesList":[[10.0,10.0,2.0,2.0]]},{"pageNumber":0,"geomIndex":1034,"lastGeomIndex":1039,"textElement":"Japan","identifiers":{"ELEMENT_INDICES":"1"},"tableIndex":-1,"rowIndex":11,"cellIndex":9,"fontSize":12,"issueTypeId":"SmallFontSizeIssue:XLSX","dismiss":false,"pageNumbers":[1],"coordinatesList":[[10.0,10.0,2.0,2.0]]},{"pageNumber":0,"geomIndex":1039,"lastGeomIndex":1043,"textElement":"Asia","identifiers":{"ELEMENT_INDICES":"1"},"tableIndex":-1,"rowIndex":11,"cellIndex":10,"fontSize":12,"issueTypeId":"SmallFontSizeIssue:XLSX","dismiss":false,"pageNumbers":[1],"coordinatesList":[[10.0,10.0,2.0,2.0]]},{"pageNumber":0,"geomIndex":1043,"lastGeomIndex":1049,"textElement":"Nissan","identifiers":{"ELEMENT_INDICES":"1"},"tableIndex":-1,"rowIndex":12,"cellIndex":0,"fontSize":12,"issueTypeId":"SmallFontSizeIssue:XLSX","dismiss":false,"pageNumbers":[1],"coordinatesList":[[54.992000579833984,530.108291387558,29.25467300415039,10.998000144958496]]},{"pageNumber":0,"geomIndex":1049,"lastGeomIndex":1077,"textElement":"Ariya e-4ORCE 87kWh Performance","identifiers":{"ELEMENT_INDICES":"1"},"tableIndex":-1,"rowIndex":12,"cellIndex":1,"fontSize":12,"issueTypeId":"SmallFontSizeIssue:XLSX","dismiss":false,"pageNumbers":[1],"coordinatesList":[[103.9749984741211,260.1932828426361,158.81107330322266,10.998000144958496]]},{"pageNumber":0,"geomIndex":1049,"lastGeomIndex":1053,"textElement":"Opel","identifiers":{"ELEMENT_INDICES":"2"},"tableIndex":-1,"rowIndex":52,"cellIndex":0,"fontSize":12,"issueTypeId":"SmallFontSizeIssue:XLSX","dismiss":false,"pageNumbers":[1],"coordinatesList":[[54.992000579833984,350.1652982234955,21.039165496826172,10.998000144958496]]},{"pageNumber":0,"geomIndex":1060,"lastGeomIndex":1064,"textElement":"2020","identifiers":{"ELEMENT_INDICES":"2"},"tableIndex":-1,"rowIndex":52,"cellIndex":2,"fontSize":12,"issueTypeId":"SmallFontSizeIssue:XLSX","dismiss":false,"pageNumbers":[1],"coordinatesList":[[344.15399169921875,410.14631628990173,22.260009765625,10.998000144958496]]},{"pageNumber":0,"geomIndex":1064,"lastGeomIndex":1069,"textElement":"Skoda","identifiers":{"ELEMENT_INDICES":"2"},"tableIndex":-1,"rowIndex":53,"cellIndex":0,"fontSize":12,"issueTypeId":"SmallFontSizeIssue:XLSX","dismiss":false,"pageNumbers":[1],"coordinatesList":[[54.992000579833984,320.17430090904236,26.879108428955078,10.998000144958496]]},{"pageNumber":0,"geomIndex":1069,"lastGeomIndex":1078,"textElement":"Enyaq iV 80","identifiers":{"ELEMENT_INDICES":"2"},"tableIndex":-1,"rowIndex":53,"cellIndex":1,"fontSize":12,"issueTypeId":"SmallFontSizeIssue:XLSX","dismiss":false,"pageNumbers":[1],"coordinatesList":[[103.9749984741211,740.0423047542572,52.009544372558594,10.998000144958496]]},{"pageNumber":0,"geomIndex":1077,"lastGeomIndex":1122,"textElement":"_xlfn.XLOOKUP($B13,Sheet2!$B:$B,Sheet2!$C:$C)","identifiers":{"ELEMENT_INDICES":"1"},"tableIndex":-1,"rowIndex":12,"cellIndex":2,"fontSize":12,"issueTypeId":"SmallFontSizeIssue:XLSX","dismiss":false,"pageNumbers":[1],"coordinatesList":[[10.0,10.0,2.0,2.0]]},{"pageNumber":0,"geomIndex":1078,"lastGeomIndex":1082,"textElement":"2020","identifiers":{"ELEMENT_INDICES":"2"},"tableIndex":-1,"rowIndex":53,"cellIndex":2,"fontSize":12,"issueTypeId":"SmallFontSizeIssue:XLSX","dismiss":false,"pageNumbers":[1],"coordinatesList":[[344.15399169921875,410.14631628990173,22.260009765625,10.998000144958496]]},{"pageNumber":0,"geomIndex":1082,"lastGeomIndex":1087,"textElement":"Tesla","identifiers":{"ELEMENT_INDICES":"2"},"tableIndex":-1,"rowIndex":54,"cellIndex":0,"fontSize":12,"issueTypeId":"SmallFontSizeIssue:XLSX","dismiss":false,"pageNumbers":[1],"coordinatesList":[[54.992000579833984,395.15132117271423,22.908832550048828,10.998000144958496]]},{"pageNumber":0,"geomIndex":1106,"lastGeomIndex":1111,"textElement":"Honda","identifiers":{"ELEMENT_INDICES":"2"},"tableIndex":-1,"rowIndex":55,"cellIndex":0,"fontSize":12,"issueTypeId":"SmallFontSizeIssue:XLSX","dismiss":false,"pageNumbers":[1],"coordinatesList":[[54.992000579833984,425.14131140708923,29.463642120361328,10.998000144958496]]},{"pageNumber":0,"geomIndex":1111,"lastGeomIndex":1119,"textElement":"e Advance","identifiers":{"ELEMENT_INDICES":"2"},"tableIndex":-1,"rowIndex":55,"cellIndex":1,"fontSize":12,"issueTypeId":"SmallFontSizeIssue:XLSX","dismiss":false,"pageNumbers":[1],"coordinatesList":[[103.9749984741211,425.14131140708923,46.19159698486328,10.998000144958496]]},{"pageNumber":0,"geomIndex":1119,"lastGeomIndex":1123,"textElement":"2020","identifiers":{"ELEMENT_INDICES":"2"},"tableIndex":-1,"rowIndex":55,"cellIndex":2,"fontSize":12,"issueTypeId":"SmallFontSizeIssue:XLSX","dismiss":false,"pageNumbers":[1],"coordinatesList":[[344.15399169921875,410.14631628990173,22.260009765625,10.998000144958496]]},{"pageNumber":0,"geomIndex":1122,"lastGeomIndex":1126,"textElement":"2275","identifiers":{"ELEMENT_INDICES":"1"},"tableIndex":-1,"rowIndex":12,"cellIndex":3,"fontSize":12,"issueTypeId":"SmallFontSizeIssue:XLSX","dismiss":false,"pageNumbers":[1],"coordinatesList":[[393.1369934082031,260.1932828426361,22.260009765625,10.998000144958496]]},{"pageNumber":0,"geomIndex":1123,"lastGeomIndex":1125,"textElement":"DS","identifiers":{"ELEMENT_INDICES":"2"},"tableIndex":-1,"rowIndex":56,"cellIndex":0,"fontSize":12,"issueTypeId":"SmallFontSizeIssue:XLSX","dismiss":false,"pageNumbers":[1],"coordinatesList":[[54.992000579833984,110.24027991294861,11.81185531616211,10.998000144958496]]},{"pageNumber":0,"geomIndex":1125,"lastGeomIndex":1142,"textElement":"3 Crossback E-Tense","identifiers":{"ELEMENT_INDICES":"2"},"tableIndex":-1,"rowIndex":56,"cellIndex":1,"fontSize":12,"issueTypeId":"SmallFontSizeIssue:XLSX","dismiss":false,"pageNumbers":[1],"coordinatesList":[[103.9749984741211,110.24027991294861,90.3925552368164,10.998000144958496]]},{"pageNumber":0,"geomIndex":1126,"lastGeomIndex":1129,"textElement":"200","identifiers":{"ELEMENT_INDICES":"1"},"tableIndex":-1,"rowIndex":12,"cellIndex":4,"fontSize":12,"issueTypeId":"SmallFontSizeIssue:XLSX","dismiss":false,"pageNumbers":[1],"coordinatesList":[[112.80638885498047,440.13630652427673,16.694969177246094,10.998000144958496]]},{"pageNumber":0,"geomIndex":1129,"lastGeomIndex":1132,"textElement":"375","identifiers":{"ELEMENT_INDICES":"1"},"tableIndex":-1,"rowIndex":12,"cellIndex":5,"fontSize":12,"issueTypeId":"SmallFontSizeIssue:XLSX","dismiss":false,"pageNumbers":[1],"coordinatesList":[[504.0849914550781,260.1932828426361,16.694976806640625,10.998000144958496]]},{"pageNumber":0,"geomIndex":1132,"lastGeomIndex":1135,"textElement":"5.1","identifiers":{"ELEMENT_INDICES":"1"},"tableIndex":-1,"rowIndex":12,"cellIndex":6,"fontSize":12,"issueTypeId":"SmallFontSizeIssue:XLSX","dismiss":false,"pageNumbers":[1],"coordinatesList":[[10.0,10.0,2.0,2.0]]},{"pageNumber":0,"geomIndex":1135,"lastGeomIndex":1138,"textElement":"232","identifiers":{"ELEMENT_INDICES":"1"},"tableIndex":-1,"rowIndex":12,"cellIndex":7,"fontSize":12,"issueTypeId":"SmallFontSizeIssue:XLSX","dismiss":false,"pageNumbers":[1],"coordinatesList":[[355.28399658203125,290.18431067466736,43.417999267578125,10.998000144958496]]},{"pageNumber":0,"geomIndex":1138,"lastGeomIndex":1143,"textElement":"65000","identifiers":{"ELEMENT_INDICES":"1"},"tableIndex":-1,"rowIndex":12,"cellIndex":8,"fontSize":12,"issueTypeId":"SmallFontSizeIssue:XLSX","dismiss":false,"pageNumbers":[1],"coordinatesList":[[10.0,10.0,2.0,2.0]]},{"pageNumber":0,"geomIndex":1142,"lastGeomIndex":1146,"textElement":"2019","identifiers":{"ELEMENT_INDICES":"2"},"tableIndex":-1,"rowIndex":56,"cellIndex":2,"fontSize":12,"issueTypeId":"SmallFontSizeIssue:XLSX","dismiss":false,"pageNumbers":[1],"coordinatesList":[[344.15399169921875,455.13230872154236,22.260009765625,10.998000144958496]]},{"pageNumber":0,"geomIndex":1143,"lastGeomIndex":1148,"textElement":"Japan","identifiers":{"ELEMENT_INDICES":"1"},"tableIndex":-1,"rowIndex":12,"cellIndex":9,"fontSize":12,"issueTypeId":"SmallFontSizeIssue:XLSX","dismiss":false,"pageNumbers":[1],"coordinatesList":[[10.0,10.0,2.0,2.0]]},{"pageNumber":0,"geomIndex":1148,"lastGeomIndex":1152,"textElement":"Asia","identifiers":{"ELEMENT_INDICES":"1"},"tableIndex":-1,"rowIndex":12,"cellIndex":10,"fontSize":12,"issueTypeId":"SmallFontSizeIssue:XLSX","dismiss":false,"pageNumbers":[1],"coordinatesList":[[10.0,10.0,2.0,2.0]]},{"pageNumber":0,"geomIndex":1152,"lastGeomIndex":1156,"textElement":"Jeep","identifiers":{"ELEMENT_INDICES":"1"},"tableIndex":-1,"rowIndex":13,"cellIndex":0,"fontSize":12,"issueTypeId":"SmallFontSizeIssue:XLSX","dismiss":false,"pageNumbers":[1],"coordinatesList":[[54.992000579833984,275.1882779598236,20.203327178955078,10.998000144958496]]},{"pageNumber":0,"geomIndex":1156,"lastGeomIndex":1163,"textElement":"Avenger","identifiers":{"ELEMENT_INDICES":"1"},"tableIndex":-1,"rowIndex":13,"cellIndex":1,"fontSize":12,"issueTypeId":"SmallFontSizeIssue:XLSX","dismiss":false,"pageNumbers":[1],"coordinatesList":[[103.9749984741211,275.1882779598236,37.019264221191406,10.998000144958496]]},{"pageNumber":0,"geomIndex":1161,"lastGeomIndex":1165,"textElement":"2020","identifiers":{"ELEMENT_INDICES":"2"},"tableIndex":-1,"rowIndex":57,"cellIndex":2,"fontSize":12,"issueTypeId":"SmallFontSizeIssue:XLSX","dismiss":false,"pageNumbers":[1],"coordinatesList":[[344.15399169921875,410.14631628990173,22.260009765625,10.998000144958496]]},{"pageNumber":0,"geomIndex":1163,"lastGeomIndex":1167,"textElement":"2023","identifiers":{"ELEMENT_INDICES":"1"},"tableIndex":-1,"rowIndex":13,"cellIndex":2,"fontSize":12,"issueTypeId":"SmallFontSizeIssue:XLSX","dismiss":false,"pageNumbers":[1],"coordinatesList":[[344.15399169921875,290.18431067466736,22.260009765625,10.998000144958496]]},{"pageNumber":0,"geomIndex":1165,"lastGeomIndex":1172,"textElement":"Citroen","identifiers":{"ELEMENT_INDICES":"2"},"tableIndex":-1,"rowIndex":58,"cellIndex":0,"fontSize":12,"issueTypeId":"SmallFontSizeIssue:XLSX","dismiss":false,"pageNumbers":[1],"coordinatesList":[[54.992000579833984,470.12730383872986,32.9170036315918,10.998000144958496]]},{"pageNumber":0,"geomIndex":1167,"lastGeomIndex":1171,"textElement":"1500","identifiers":{"ELEMENT_INDICES":"1"},"tableIndex":-1,"rowIndex":13,"cellIndex":3,"fontSize":12,"issueTypeId":"SmallFontSizeIssue:XLSX","dismiss":false,"pageNumbers":[1],"coordinatesList":[[393.1369934082031,275.1882779598236,22.260009765625,10.998000144958496]]},{"pageNumber":0,"geomIndex":1171,"lastGeomIndex":1174,"textElement":"150","identifiers":{"ELEMENT_INDICES":"1"},"tableIndex":-1,"rowIndex":13,"cellIndex":4,"fontSize":12,"issueTypeId":"SmallFontSizeIssue:XLSX","dismiss":false,"pageNumbers":[1],"coordinatesList":[[447.7040100097656,440.13630652427673,16.69500732421875,10.998000144958496]]},{"pageNumber":0,"geomIndex":1172,"lastGeomIndex":1176,"textElement":"e-C4","identifiers":{"ELEMENT_INDICES":"2"},"tableIndex":-1,"rowIndex":58,"cellIndex":1,"fontSize":12,"issueTypeId":"SmallFontSizeIssue:XLSX","dismiss":false,"pageNumbers":[1],"coordinatesList":[[103.9749984741211,470.12730383872986,20.25830841064453,10.998000144958496]]},{"pageNumber":0,"geomIndex":1174,"lastGeomIndex":1177,"textElement":"400","identifiers":{"ELEMENT_INDICES":"1"},"tableIndex":-1,"rowIndex":13,"cellIndex":5,"fontSize":12,"issueTypeId":"SmallFontSizeIssue:XLSX","dismiss":false,"pageNumbers":[1],"coordinatesList":[[504.0849914550781,275.1882779598236,16.694976806640625,10.998000144958496]]},{"pageNumber":0,"geomIndex":1176,"lastGeomIndex":1180,"textElement":"2020","identifiers":{"ELEMENT_INDICES":"2"},"tableIndex":-1,"rowIndex":58,"cellIndex":2,"fontSize":12,"issueTypeId":"SmallFontSizeIssue:XLSX","dismiss":false,"pageNumbers":[1],"coordinatesList":[[344.15399169921875,410.14631628990173,22.260009765625,10.998000144958496]]},{"pageNumber":0,"geomIndex":1177,"lastGeomIndex":1178,"textElement":"9","identifiers":{"ELEMENT_INDICES":"1"},"tableIndex":-1,"rowIndex":13,"cellIndex":6,"fontSize":12,"issueTypeId":"SmallFontSizeIssue:XLSX","dismiss":false,"pageNumbers":[1],"coordinatesList":[[509.6499938964844,380.1553189754486,5.564971923828125,10.998000144958496]]},{"pageNumber":0,"geomIndex":1178,"lastGeomIndex":1181,"textElement":"156","identifiers":{"ELEMENT_INDICES":"1"},"tableIndex":-1,"rowIndex":13,"cellIndex":7,"fontSize":12,"issueTypeId":"SmallFontSizeIssue:XLSX","dismiss":false,"pageNumbers":[1],"coordinatesList":[[10.0,10.0,2.0,2.0]]},{"pageNumber":0,"geomIndex":1180,"lastGeomIndex":1185,"textElement":"Tesla","identifiers":{"ELEMENT_INDICES":"2"},"tableIndex":-1,"rowIndex":59,"cellIndex":0,"fontSize":12,"issueTypeId":"SmallFontSizeIssue:XLSX","dismiss":false,"pageNumbers":[1],"coordinatesList":[[54.992000579833984,395.15132117271423,22.908832550048828,10.998000144958496]]},{"pageNumber":0,"geomIndex":1181,"lastGeomIndex":1186,"textElement":"40000","identifiers":{"ELEMENT_INDICES":"1"},"tableIndex":-1,"rowIndex":13,"cellIndex":8,"fontSize":12,"issueTypeId":"SmallFontSizeIssue:XLSX","dismiss":false,"pageNumbers":[1],"coordinatesList":[[10.0,10.0,2.0,2.0]]},{"pageNumber":0,"geomIndex":1186,"lastGeomIndex":1189,"textElement":"USA","identifiers":{"ELEMENT_INDICES":"1"},"tableIndex":-1,"rowIndex":13,"cellIndex":9,"fontSize":12,"issueTypeId":"SmallFontSizeIssue:XLSX","dismiss":false,"pageNumbers":[1],"coordinatesList":[[10.0,10.0,2.0,2.0]]},{"pageNumber":0,"geomIndex":1189,"lastGeomIndex":1196,"textElement":"America","identifiers":{"ELEMENT_INDICES":"1"},"tableIndex":-1,"rowIndex":13,"cellIndex":10,"fontSize":12,"issueTypeId":"SmallFontSizeIssue:XLSX","dismiss":false,"pageNumbers":[1],"coordinatesList":[[10.0,10.0,2.0,2.0]]},{"pageNumber":0,"geomIndex":1196,"lastGeomIndex":1205,"textElement":"Chevrolet","identifiers":{"ELEMENT_INDICES":"1"},"tableIndex":-1,"rowIndex":14,"cellIndex":0,"fontSize":12,"issueTypeId":"SmallFontSizeIssue:XLSX","dismiss":false,"pageNumbers":[1],"coordinatesList":[[54.992000579833984,290.18431067466736,43.34310531616211,10.998000144958496]]},{"pageNumber":0,"geomIndex":1202,"lastGeomIndex":1206,"textElement":"2021","identifiers":{"ELEMENT_INDICES":"2"},"tableIndex":-1,"rowIndex":59,"cellIndex":2,"fontSize":12,"issueTypeId":"SmallFontSizeIssue:XLSX","dismiss":false,"pageNumbers":[1],"coordinatesList":[[344.15399169921875,260.1932828426361,22.260009765625,10.998000144958496]]},{"pageNumber":0,"geomIndex":1205,"lastGeomIndex":1213,"textElement":"Blazer EV","identifiers":{"ELEMENT_INDICES":"1"},"tableIndex":-1,"rowIndex":14,"cellIndex":1,"fontSize":12,"issueTypeId":"SmallFontSizeIssue:XLSX","dismiss":false,"pageNumbers":[1],"coordinatesList":[[103.9749984741211,290.18431067466736,41.484458923339844,10.998000144958496]]},{"pageNumber":0,"geomIndex":1213,"lastGeomIndex":1217,"textElement":"2023","identifiers":{"ELEMENT_INDICES":"1"},"tableIndex":-1,"rowIndex":14,"cellIndex":2,"fontSize":12,"issueTypeId":"SmallFontSizeIssue:XLSX","dismiss":false,"pageNumbers":[1],"coordinatesList":[[344.15399169921875,290.18431067466736,22.260009765625,10.998000144958496]]},{"pageNumber":0,"geomIndex":1217,"lastGeomIndex":1221,"textElement":"2160","identifiers":{"ELEMENT_INDICES":"1"},"tableIndex":-1,"rowIndex":14,"cellIndex":3,"fontSize":12,"issueTypeId":"SmallFontSizeIssue:XLSX","dismiss":false,"pageNumbers":[1],"coordinatesList":[[393.1369934082031,290.18431067466736,22.260009765625,10.998000144958496]]},{"pageNumber":0,"geomIndex":1221,"lastGeomIndex":1224,"textElement":"190","identifiers":{"ELEMENT_INDICES":"1"},"tableIndex":-1,"rowIndex":14,"cellIndex":4,"fontSize":12,"issueTypeId":"SmallFontSizeIssue:XLSX","dismiss":false,"pageNumbers":[1],"coordinatesList":[[447.7040100097656,365.160293340683,16.69500732421875,10.998000144958496]]},{"pageNumber":0,"geomIndex":1224,"lastGeomIndex":1228,"textElement":"2017","identifiers":{"ELEMENT_INDICES":"2"},"tableIndex":-1,"rowIndex":60,"cellIndex":2,"fontSize":12,"issueTypeId":"SmallFontSizeIssue:XLSX","dismiss":false,"pageNumbers":[1],"coordinatesList":[[344.15399169921875,185.2173306941986,22.260009765625,10.998000144958496]]},{"pageNumber":0,"geomIndex":1224,"lastGeomIndex":1227,"textElement":"515","identifiers":{"ELEMENT_INDICES":"1"},"tableIndex":-1,"rowIndex":14,"cellIndex":5,"fontSize":12,"issueTypeId":"SmallFontSizeIssue:XLSX","dismiss":false,"pageNumbers":[1],"coordinatesList":[[409.8320007324219,455.13230872154236,49.00201416015625,10.998000144958496]]},{"pageNumber":0,"geomIndex":1227,"lastGeomIndex":1228,"textElement":"4","identifiers":{"ELEMENT_INDICES":"1"},"tableIndex":-1,"rowIndex":14,"cellIndex":6,"fontSize":12,"issueTypeId":"SmallFontSizeIssue:XLSX","dismiss":false,"pageNumbers":[1],"coordinatesList":[[453.2690124511719,410.14631628990173,5.56500244140625,10.998000144958496]]},{"pageNumber":0,"geomIndex":1228,"lastGeomIndex":1233,"textElement":"Tesla","identifiers":{"ELEMENT_INDICES":"2"},"tableIndex":-1,"rowIndex":61,"cellIndex":0,"fontSize":12,"issueTypeId":"SmallFontSizeIssue:XLSX","dismiss":false,"pageNumbers":[1],"coordinatesList":[[54.992000579833984,395.15132117271423,22.908832550048828,10.998000144958496]]},{"pageNumber":0,"geomIndex":1228,"lastGeomIndex":1231,"textElement":"200","identifiers":{"ELEMENT_INDICES":"1"},"tableIndex":-1,"rowIndex":14,"cellIndex":7,"fontSize":12,"issueTypeId":"SmallFontSizeIssue:XLSX","dismiss":false,"pageNumbers":[1],"coordinatesList":[[112.80638885498047,440.13630652427673,16.694969177246094,10.998000144958496]]},{"pageNumber":0,"geomIndex":1231,"lastGeomIndex":1236,"textElement":"52000","identifiers":{"ELEMENT_INDICES":"1"},"tableIndex":-1,"rowIndex":14,"cellIndex":8,"fontSize":12,"issueTypeId":"SmallFontSizeIssue:XLSX","dismiss":false,"pageNumbers":[1],"coordinatesList":[[10.0,10.0,2.0,2.0]]},{"pageNumber":0,"geomIndex":1236,"lastGeomIndex":1239,"textElement":"USA","identifiers":{"ELEMENT_INDICES":"1"},"tableIndex":-1,"rowIndex":14,"cellIndex":9,"fontSize":12,"issueTypeId":"SmallFontSizeIssue:XLSX","dismiss":false,"pageNumbers":[1],"coordinatesList":[[10.0,10.0,2.0,2.0]]},{"pageNumber":0,"geomIndex":1239,"lastGeomIndex":1246,"textElement":"America","identifiers":{"ELEMENT_INDICES":"1"},"tableIndex":-1,"rowIndex":14,"cellIndex":10,"fontSize":12,"issueTypeId":"SmallFontSizeIssue:XLSX","dismiss":false,"pageNumbers":[1],"coordinatesList":[[10.0,10.0,2.0,2.0]]},{"pageNumber":0,"geomIndex":1246,"lastGeomIndex":1252,"textElement":"Toyota","identifiers":{"ELEMENT_INDICES":"1"},"tableIndex":-1,"rowIndex":15,"cellIndex":0,"fontSize":12,"issueTypeId":"SmallFontSizeIssue:XLSX","dismiss":false,"pageNumbers":[1],"coordinatesList":[[54.992000579833984,305.17930579185486,30.86038589477539,10.998000144958496]]},{"pageNumber":0,"geomIndex":1252,"lastGeomIndex":1256,"textElement":"bZ4X","identifiers":{"ELEMENT_INDICES":"1"},"tableIndex":-1,"rowIndex":15,"cellIndex":1,"fontSize":12,"issueTypeId":"SmallFontSizeIssue:XLSX","dismiss":false,"pageNumbers":[1],"coordinatesList":[[103.9749984741211,305.17930579185486,22.19396209716797,10.998000144958496]]},{"pageNumber":0,"geomIndex":1256,"lastGeomIndex":1260,"textElement":"2022","identifiers":{"ELEMENT_INDICES":"1"},"tableIndex":-1,"rowIndex":15,"cellIndex":2,"fontSize":12,"issueTypeId":"SmallFontSizeIssue:XLSX","dismiss":false,"pageNumbers":[1],"coordinatesList":[[344.15399169921875,305.17930579185486,22.260009765625,10.998000144958496]]},{"pageNumber":0,"geomIndex":1259,"lastGeomIndex":1263,"textElement":"2020","identifiers":{"ELEMENT_INDICES":"2"},"tableIndex":-1,"rowIndex":61,"cellIndex":2,"fontSize":12,"issueTypeId":"SmallFontSizeIssue:XLSX","dismiss":false,"pageNumbers":[1],"coordinatesList":[[344.15399169921875,410.14631628990173,22.260009765625,10.998000144958496]]},{"pageNumber":0,"geomIndex":1260,"lastGeomIndex":1264,"textElement":"1950","identifiers":{"ELEMENT_INDICES":"1"},"tableIndex":-1,"rowIndex":15,"cellIndex":3,"fontSize":12,"issueTypeId":"SmallFontSizeIssue:XLSX","dismiss":false,"pageNumbers":[1],"coordinatesList":[[393.1369934082031,305.17930579185486,22.260009765625,10.998000144958496]]},{"pageNumber":0,"geomIndex":1263,"lastGeomIndex":1269,"textElement":"Nissan","identifiers":{"ELEMENT_INDICES":"2"},"tableIndex":-1,"rowIndex":62,"cellIndex":0,"fontSize":12,"issueTypeId":"SmallFontSizeIssue:XLSX","dismiss":false,"pageNumbers":[1],"coordinatesList":[[54.992000579833984,530.108291387558,29.25467300415039,10.998000144958496]]},{"pageNumber":0,"geomIndex":1264,"lastGeomIndex":1267,"textElement":"160","identifiers":{"ELEMENT_INDICES":"1"},"tableIndex":-1,"rowIndex":15,"cellIndex":4,"fontSize":12,"issueTypeId":"SmallFontSizeIssue:XLSX","dismiss":false,"pageNumbers":[1],"coordinatesList":[[447.7040100097656,305.17930579185486,16.69500732421875,10.998000144958496]]},{"pageNumber":0,"geomIndex":1267,"lastGeomIndex":1270,"textElement":"500","identifiers":{"ELEMENT_INDICES":"1"},"tableIndex":-1,"rowIndex":15,"cellIndex":5,"fontSize":12,"issueTypeId":"SmallFontSizeIssue:XLSX","dismiss":false,"pageNumbers":[1],"coordinatesList":[[504.0849914550781,305.17930579185486,16.694976806640625,10.998000144958496]]},{"pageNumber":0,"geomIndex":1269,"lastGeomIndex":1279,"textElement":"Ariya 87kWh","identifiers":{"ELEMENT_INDICES":"2"},"tableIndex":-1,"rowIndex":62,"cellIndex":1,"fontSize":12,"issueTypeId":"SmallFontSizeIssue:XLSX","dismiss":false,"pageNumbers":[1],"coordinatesList":[[103.9749984741211,215.2073209285736,57.101600646972656,10.998000144958496]]},{"pageNumber":0,"geomIndex":1270,"lastGeomIndex":1273,"textElement":"7.7","identifiers":{"ELEMENT_INDICES":"1"},"tableIndex":-1,"rowIndex":15,"cellIndex":6,"fontSize":12,"issueTypeId":"SmallFontSizeIssue:XLSX","dismiss":false,"pageNumbers":[1],"coordinatesList":[[10.0,10.0,2.0,2.0]]},{"pageNumber":0,"geomIndex":1273,"lastGeomIndex":1276,"textElement":"166","identifiers":{"ELEMENT_INDICES":"1"},"tableIndex":-1,"rowIndex":15,"cellIndex":7,"fontSize":12,"issueTypeId":"SmallFontSizeIssue:XLSX","dismiss":false,"pageNumbers":[1],"coordinatesList":[[10.0,10.0,2.0,2.0]]},{"pageNumber":0,"geomIndex":1276,"lastGeomIndex":1281,"textElement":"44000","identifiers":{"ELEMENT_INDICES":"1"},"tableIndex":-1,"rowIndex":15,"cellIndex":8,"fontSize":12,"issueTypeId":"SmallFontSizeIssue:XLSX","dismiss":false,"pageNumbers":[1],"coordinatesList":[[10.0,10.0,2.0,2.0]]},{"pageNumber":0,"geomIndex":1279,"lastGeomIndex":1283,"textElement":"2021","identifiers":{"ELEMENT_INDICES":"2"},"tableIndex":-1,"rowIndex":62,"cellIndex":2,"fontSize":12,"issueTypeId":"SmallFontSizeIssue:XLSX","dismiss":false,"pageNumbers":[1],"coordinatesList":[[344.15399169921875,260.1932828426361,22.260009765625,10.998000144958496]]},{"pageNumber":0,"geomIndex":1281,"lastGeomIndex":1286,"textElement":"Japan","identifiers":{"ELEMENT_INDICES":"1"},"tableIndex":-1,"rowIndex":15,"cellIndex":9,"fontSize":12,"issueTypeId":"SmallFontSizeIssue:XLSX","dismiss":false,"pageNumbers":[1],"coordinatesList":[[10.0,10.0,2.0,2.0]]},{"pageNumber":0,"geomIndex":1286,"lastGeomIndex":1290,"textElement":"Asia","identifiers":{"ELEMENT_INDICES":"1"},"tableIndex":-1,"rowIndex":15,"cellIndex":10,"fontSize":12,"issueTypeId":"SmallFontSizeIssue:XLSX","dismiss":false,"pageNumbers":[1],"coordinatesList":[[10.0,10.0,2.0,2.0]]},{"pageNumber":0,"geomIndex":1290,"lastGeomIndex":1295,"textElement":"Skoda","identifiers":{"ELEMENT_INDICES":"1"},"tableIndex":-1,"rowIndex":16,"cellIndex":0,"fontSize":12,"issueTypeId":"SmallFontSizeIssue:XLSX","dismiss":false,"pageNumbers":[1],"coordinatesList":[[54.992000579833984,320.17430090904236,26.879108428955078,10.998000144958496]]},{"pageNumber":0,"geomIndex":1295,"lastGeomIndex":1304,"textElement":"CITIGOe iV","identifiers":{"ELEMENT_INDICES":"1"},"tableIndex":-1,"rowIndex":16,"cellIndex":1,"fontSize":12,"issueTypeId":"SmallFontSizeIssue:XLSX","dismiss":false,"pageNumbers":[1],"coordinatesList":[[103.9749984741211,320.17430090904236,47.654335021972656,10.998000144958496]]},{"pageNumber":0,"geomIndex":1295,"lastGeomIndex":1299,"textElement":"2018","identifiers":{"ELEMENT_INDICES":"2"},"tableIndex":-1,"rowIndex":63,"cellIndex":2,"fontSize":12,"issueTypeId":"SmallFontSizeIssue:XLSX","dismiss":false,"pageNumbers":[1],"coordinatesList":[[344.15399169921875,500.118301153183,22.260009765625,10.998000144958496]]},{"pageNumber":0,"geomIndex":1304,"lastGeomIndex":1349,"textElement":"_xlfn.XLOOKUP($B17,Sheet2!$B:$B,Sheet2!$C:$C)","identifiers":{"ELEMENT_INDICES":"1"},"tableIndex":-1,"rowIndex":16,"cellIndex":2,"fontSize":12,"issueTypeId":"SmallFontSizeIssue:XLSX","dismiss":false,"pageNumbers":[1],"coordinatesList":[[10.0,10.0,2.0,2.0]]},{"pageNumber":0,"geomIndex":1321,"lastGeomIndex":1325,"textElement":"2020","identifiers":{"ELEMENT_INDICES":"2"},"tableIndex":-1,"rowIndex":64,"cellIndex":2,"fontSize":12,"issueTypeId":"SmallFontSizeIssue:XLSX","dismiss":false,"pageNumbers":[1],"coordinatesList":[[344.15399169921875,410.14631628990173,22.260009765625,10.998000144958496]]},{"pageNumber":0,"geomIndex":1344,"lastGeomIndex":1348,"textElement":"2019","identifiers":{"ELEMENT_INDICES":"2"},"tableIndex":-1,"rowIndex":65,"cellIndex":2,"fontSize":12,"issueTypeId":"SmallFontSizeIssue:XLSX","dismiss":false,"pageNumbers":[1],"coordinatesList":[[344.15399169921875,455.13230872154236,22.260009765625,10.998000144958496]]},{"pageNumber":0,"geomIndex":1348,"lastGeomIndex":1354,"textElement":"Nissan","identifiers":{"ELEMENT_INDICES":"2"},"tableIndex":-1,"rowIndex":66,"cellIndex":0,"fontSize":12,"issueTypeId":"SmallFontSizeIssue:XLSX","dismiss":false,"pageNumbers":[1],"coordinatesList":[[54.992000579833984,530.108291387558,29.25467300415039,10.998000144958496]]},{"pageNumber":0,"geomIndex":1349,"lastGeomIndex":1353,"textElement":"1235","identifiers":{"ELEMENT_INDICES":"1"},"tableIndex":-1,"rowIndex":16,"cellIndex":3,"fontSize":12,"issueTypeId":"SmallFontSizeIssue:XLSX","dismiss":false,"pageNumbers":[1],"coordinatesList":[[393.1369934082031,320.17430090904236,22.260009765625,10.998000144958496]]},{"pageNumber":0,"geomIndex":1353,"lastGeomIndex":1356,"textElement":"130","identifiers":{"ELEMENT_INDICES":"1"},"tableIndex":-1,"rowIndex":16,"cellIndex":4,"fontSize":12,"issueTypeId":"SmallFontSizeIssue:XLSX","dismiss":false,"pageNumbers":[1],"coordinatesList":[[447.7040100097656,320.17430090904236,16.69500732421875,10.998000144958496]]},{"pageNumber":0,"geomIndex":1354,"lastGeomIndex":1367,"textElement":"e-NV200 Evalia","identifiers":{"ELEMENT_INDICES":"2"},"tableIndex":-1,"rowIndex":66,"cellIndex":1,"fontSize":12,"issueTypeId":"SmallFontSizeIssue:XLSX","dismiss":false,"pageNumbers":[1],"coordinatesList":[[103.9749984741211,530.108291387558,67.24175262451172,10.998000144958496]]},{"pageNumber":0,"geomIndex":1356,"lastGeomIndex":1359,"textElement":"195","identifiers":{"ELEMENT_INDICES":"1"},"tableIndex":-1,"rowIndex":16,"cellIndex":5,"fontSize":12,"issueTypeId":"SmallFontSizeIssue:XLSX","dismiss":false,"pageNumbers":[1],"coordinatesList":[[504.0849914550781,320.17430090904236,16.694976806640625,10.998000144958496]]},{"pageNumber":0,"geomIndex":1359,"lastGeomIndex":1363,"textElement":"12.3","identifiers":{"ELEMENT_INDICES":"1"},"tableIndex":-1,"rowIndex":16,"cellIndex":6,"fontSize":12,"issueTypeId":"SmallFontSizeIssue:XLSX","dismiss":false,"pageNumbers":[1],"coordinatesList":[[10.0,10.0,2.0,2.0]]},{"pageNumber":0,"geomIndex":1363,"lastGeomIndex":1366,"textElement":"166","identifiers":{"ELEMENT_INDICES":"1"},"tableIndex":-1,"rowIndex":16,"cellIndex":7,"fontSize":12,"issueTypeId":"SmallFontSizeIssue:XLSX","dismiss":false,"pageNumbers":[1],"coordinatesList":[[10.0,10.0,2.0,2.0]]},{"pageNumber":0,"geomIndex":1366,"lastGeomIndex":1371,"textElement":"24534","identifiers":{"ELEMENT_INDICES":"1"},"tableIndex":-1,"rowIndex":16,"cellIndex":8,"fontSize":12,"issueTypeId":"SmallFontSizeIssue:XLSX","dismiss":false,"pageNumbers":[1],"coordinatesList":[[10.0,10.0,2.0,2.0]]},{"pageNumber":0,"geomIndex":1367,"lastGeomIndex":1371,"textElement":"2014","identifiers":{"ELEMENT_INDICES":"2"},"tableIndex":-1,"rowIndex":66,"cellIndex":2,"fontSize":12,"issueTypeId":"SmallFontSizeIssue:XLSX","dismiss":false,"pageNumbers":[1],"coordinatesList":[[344.15399169921875,485.12229895591736,22.260009765625,10.998000144958496]]},{"pageNumber":0,"geomIndex":1371,"lastGeomIndex":1378,"textElement":"Czechia","identifiers":{"ELEMENT_INDICES":"1"},"tableIndex":-1,"rowIndex":16,"cellIndex":9,"fontSize":12,"issueTypeId":"SmallFontSizeIssue:XLSX","dismiss":false,"pageNumbers":[1],"coordinatesList":[[10.0,10.0,2.0,2.0]]},{"pageNumber":0,"geomIndex":1371,"lastGeomIndex":1376,"textElement":"Tesla","identifiers":{"ELEMENT_INDICES":"2"},"tableIndex":-1,"rowIndex":67,"cellIndex":0,"fontSize":12,"issueTypeId":"SmallFontSizeIssue:XLSX","dismiss":false,"pageNumbers":[1],"coordinatesList":[[54.992000579833984,395.15132117271423,22.908832550048828,10.998000144958496]]},{"pageNumber":0,"geomIndex":1376,"lastGeomIndex":1395,"textElement":"Cybertruck Dual Motor","identifiers":{"ELEMENT_INDICES":"2"},"tableIndex":-1,"rowIndex":67,"cellIndex":1,"fontSize":12,"issueTypeId":"SmallFontSizeIssue:XLSX","dismiss":false,"pageNumbers":[1],"coordinatesList":[[103.9749984741211,365.160293340683,102.58931732177734,10.998000144958496]]},{"pageNumber":0,"geomIndex":1378,"lastGeomIndex":1384,"textElement":"Europe","identifiers":{"ELEMENT_INDICES":"1"},"tableIndex":-1,"rowIndex":16,"cellIndex":10,"fontSize":12,"issueTypeId":"SmallFontSizeIssue:XLSX","dismiss":false,"pageNumbers":[1],"coordinatesList":[[10.0,10.0,2.0,2.0]]},{"pageNumber":0,"geomIndex":1384,"lastGeomIndex":1388,"textElement":"Mini","identifiers":{"ELEMENT_INDICES":"1"},"tableIndex":-1,"rowIndex":17,"cellIndex":0,"fontSize":12,"issueTypeId":"SmallFontSizeIssue:XLSX","dismiss":false,"pageNumbers":[1],"coordinatesList":[[54.992000579833984,335.170303106308,20.203319549560547,10.998000144958496]]},{"pageNumber":0,"geomIndex":1388,"lastGeomIndex":1396,"textElement":"Cooper SE","identifiers":{"ELEMENT_INDICES":"1"},"tableIndex":-1,"rowIndex":17,"cellIndex":1,"fontSize":12,"issueTypeId":"SmallFontSizeIssue:XLSX","dismiss":false,"pageNumbers":[1],"coordinatesList":[[103.9749984741211,335.170303106308,45.421730041503906,10.998000144958496]]},{"pageNumber":0,"geomIndex":1395,"lastGeomIndex":1399,"textElement":"2024","identifiers":{"ELEMENT_INDICES":"2"},"tableIndex":-1,"rowIndex":67,"cellIndex":2,"fontSize":12,"issueTypeId":"SmallFontSizeIssue:XLSX","dismiss":false,"pageNumbers":[1],"coordinatesList":[[344.15399169921875,395.15132117271423,22.260009765625,10.998000144958496]]},{"pageNumber":0,"geomIndex":1396,"lastGeomIndex":1441,"textElement":"_xlfn.XLOOKUP($B18,Sheet2!$B:$B,Sheet2!$C:$C)","identifiers":{"ELEMENT_INDICES":"1"},"tableIndex":-1,"rowIndex":17,"cellIndex":2,"fontSize":12,"issueTypeId":"SmallFontSizeIssue:XLSX","dismiss":false,"pageNumbers":[1],"coordinatesList":[[10.0,10.0,2.0,2.0]]},{"pageNumber":0,"geomIndex":1451,"lastGeomIndex":1454,"textElement":"7.3","identifiers":{"ELEMENT_INDICES":"1"},"tableIndex":-1,"rowIndex":17,"cellIndex":6,"fontSize":12,"issueTypeId":"SmallFontSizeIssue:XLSX","dismiss":false,"pageNumbers":[1],"coordinatesList":[[10.0,10.0,2.0,2.0]]},{"pageNumber":0,"geomIndex":1454,"lastGeomIndex":1457,"textElement":"156","identifiers":{"ELEMENT_INDICES":"1"},"tableIndex":-1,"rowIndex":17,"cellIndex":7,"fontSize":12,"issueTypeId":"SmallFontSizeIssue:XLSX","dismiss":false,"pageNumbers":[1],"coordinatesList":[[10.0,10.0,2.0,2.0]]},{"pageNumber":0,"geomIndex":1457,"lastGeomIndex":1462,"textElement":"31681","identifiers":{"ELEMENT_INDICES":"1"},"tableIndex":-1,"rowIndex":17,"cellIndex":8,"fontSize":12,"issueTypeId":"SmallFontSizeIssue:XLSX","dismiss":false,"pageNumbers":[1],"coordinatesList":[[10.0,10.0,2.0,2.0]]},{"pageNumber":0,"geomIndex":1462,"lastGeomIndex":1464,"textElement":"UK","identifiers":{"ELEMENT_INDICES":"1"},"tableIndex":-1,"rowIndex":17,"cellIndex":9,"fontSize":12,"issueTypeId":"SmallFontSizeIssue:XLSX","dismiss":false,"pageNumbers":[1],"coordinatesList":[[10.0,10.0,2.0,2.0]]},{"pageNumber":0,"geomIndex":1464,"lastGeomIndex":1470,"textElement":"Europe","identifiers":{"ELEMENT_INDICES":"1"},"tableIndex":-1,"rowIndex":17,"cellIndex":10,"fontSize":12,"issueTypeId":"SmallFontSizeIssue:XLSX","dismiss":false,"pageNumbers":[1],"coordinatesList":[[10.0,10.0,2.0,2.0]]},{"pageNumber":0,"geomIndex":1474,"lastGeomIndex":1481,"textElement":"Corsa-e","identifiers":{"ELEMENT_INDICES":"1"},"tableIndex":-1,"rowIndex":18,"cellIndex":1,"fontSize":12,"issueTypeId":"SmallFontSizeIssue:XLSX","dismiss":false,"pageNumbers":[1],"coordinatesList":[[10.0,10.0,2.0,2.0]]},{"pageNumber":0,"geomIndex":1481,"lastGeomIndex":1526,"textElement":"_xlfn.XLOOKUP($B19,Sheet2!$B:$B,Sheet2!$C:$C)","identifiers":{"ELEMENT_INDICES":"1"},"tableIndex":-1,"rowIndex":18,"cellIndex":2,"fontSize":12,"issueTypeId":"SmallFontSizeIssue:XLSX","dismiss":false,"pageNumbers":[1],"coordinatesList":[[10.0,10.0,2.0,2.0]]},{"pageNumber":0,"geomIndex":1526,"lastGeomIndex":1530,"textElement":"1455","identifiers":{"ELEMENT_INDICES":"1"},"tableIndex":-1,"rowIndex":18,"cellIndex":3,"fontSize":12,"issueTypeId":"SmallFontSizeIssue:XLSX","dismiss":false,"pageNumbers":[1],"coordinatesList":[[10.0,10.0,2.0,2.0]]},{"pageNumber":0,"geomIndex":1533,"lastGeomIndex":1536,"textElement":"275","identifiers":{"ELEMENT_INDICES":"1"},"tableIndex":-1,"rowIndex":18,"cellIndex":5,"fontSize":12,"issueTypeId":"SmallFontSizeIssue:XLSX","dismiss":false,"pageNumbers":[1],"coordinatesList":[[10.0,10.0,2.0,2.0]]},{"pageNumber":0,"geomIndex":1536,"lastGeomIndex":1539,"textElement":"8.1","identifiers":{"ELEMENT_INDICES":"1"},"tableIndex":-1,"rowIndex":18,"cellIndex":6,"fontSize":12,"issueTypeId":"SmallFontSizeIssue:XLSX","dismiss":false,"pageNumbers":[1],"coordinatesList":[[10.0,10.0,2.0,2.0]]},{"pageNumber":0,"geomIndex":1539,"lastGeomIndex":1542,"textElement":"164","identifiers":{"ELEMENT_INDICES":"1"},"tableIndex":-1,"rowIndex":18,"cellIndex":7,"fontSize":12,"issueTypeId":"SmallFontSizeIssue:XLSX","dismiss":false,"pageNumbers":[1],"coordinatesList":[[10.0,10.0,2.0,2.0]]},{"pageNumber":0,"geomIndex":1542,"lastGeomIndex":1547,"textElement":"29146","identifiers":{"ELEMENT_INDICES":"1"},"tableIndex":-1,"rowIndex":18,"cellIndex":8,"fontSize":12,"issueTypeId":"SmallFontSizeIssue:XLSX","dismiss":false,"pageNumbers":[1],"coordinatesList":[[10.0,10.0,2.0,2.0]]},{"pageNumber":0,"geomIndex":1547,"lastGeomIndex":1554,"textElement":"Germany","identifiers":{"ELEMENT_INDICES":"1"},"tableIndex":-1,"rowIndex":18,"cellIndex":9,"fontSize":12,"issueTypeId":"SmallFontSizeIssue:XLSX","dismiss":false,"pageNumbers":[1],"coordinatesList":[[10.0,10.0,2.0,2.0]]},{"pageNumber":0,"geomIndex":1554,"lastGeomIndex":1560,"textElement":"Europe","identifiers":{"ELEMENT_INDICES":"1"},"tableIndex":-1,"rowIndex":18,"cellIndex":10,"fontSize":12,"issueTypeId":"SmallFontSizeIssue:XLSX","dismiss":false,"pageNumbers":[1],"coordinatesList":[[10.0,10.0,2.0,2.0]]},{"pageNumber":0,"geomIndex":1565,"lastGeomIndex":1584,"textElement":"Cybertruck Dual Motor","identifiers":{"ELEMENT_INDICES":"1"},"tableIndex":-1,"rowIndex":19,"cellIndex":1,"fontSize":12,"issueTypeId":"SmallFontSizeIssue:XLSX","dismiss":false,"pageNumbers":[1],"coordinatesList":[[10.0,10.0,2.0,2.0]]},{"pageNumber":0,"geomIndex":1584,"lastGeomIndex":1629,"textElement":"_xlfn.XLOOKUP($B20,Sheet2!$B:$B,Sheet2!$C:$C)","identifiers":{"ELEMENT_INDICES":"1"},"tableIndex":-1,"rowIndex":19,"cellIndex":2,"fontSize":12,"issueTypeId":"SmallFontSizeIssue:XLSX","dismiss":false,"pageNumbers":[1],"coordinatesList":[[10.0,10.0,2.0,2.0]]},{"pageNumber":0,"geomIndex":1629,"lastGeomIndex":1633,"textElement":"3000","identifiers":{"ELEMENT_INDICES":"1"},"tableIndex":-1,"rowIndex":19,"cellIndex":3,"fontSize":12,"issueTypeId":"SmallFontSizeIssue:XLSX","dismiss":false,"pageNumbers":[1],"coordinatesList":[[10.0,10.0,2.0,2.0]]},{"pageNumber":0,"geomIndex":1636,"lastGeomIndex":1639,"textElement":"460","identifiers":{"ELEMENT_INDICES":"1"},"tableIndex":-1,"rowIndex":19,"cellIndex":5,"fontSize":12,"issueTypeId":"SmallFontSizeIssue:XLSX","dismiss":false,"pageNumbers":[1],"coordinatesList":[[10.0,10.0,2.0,2.0]]},{"pageNumber":0,"geomIndex":1643,"lastGeomIndex":1648,"textElement":"55000","identifiers":{"ELEMENT_INDICES":"1"},"tableIndex":-1,"rowIndex":19,"cellIndex":8,"fontSize":12,"issueTypeId":"SmallFontSizeIssue:XLSX","dismiss":false,"pageNumbers":[1],"coordinatesList":[[10.0,10.0,2.0,2.0]]},{"pageNumber":0,"geomIndex":1648,"lastGeomIndex":1651,"textElement":"USA","identifiers":{"ELEMENT_INDICES":"1"},"tableIndex":-1,"rowIndex":19,"cellIndex":9,"fontSize":12,"issueTypeId":"SmallFontSizeIssue:XLSX","dismiss":false,"pageNumbers":[1],"coordinatesList":[[10.0,10.0,2.0,2.0]]},{"pageNumber":0,"geomIndex":1651,"lastGeomIndex":1658,"textElement":"America","identifiers":{"ELEMENT_INDICES":"1"},"tableIndex":-1,"rowIndex":19,"cellIndex":10,"fontSize":12,"issueTypeId":"SmallFontSizeIssue:XLSX","dismiss":false,"pageNumbers":[1],"coordinatesList":[[10.0,10.0,2.0,2.0]]},{"pageNumber":0,"geomIndex":1663,"lastGeomIndex":1684,"textElement":"Cybertruck Single Motor","identifiers":{"ELEMENT_INDICES":"1"},"tableIndex":-1,"rowIndex":20,"cellIndex":1,"fontSize":12,"issueTypeId":"SmallFontSizeIssue:XLSX","dismiss":false,"pageNumbers":[1],"coordinatesList":[[10.0,10.0,2.0,2.0]]},{"pageNumber":0,"geomIndex":1684,"lastGeomIndex":1729,"textElement":"_xlfn.XLOOKUP($B21,Sheet2!$B:$B,Sheet2!$C:$C)","identifiers":{"ELEMENT_INDICES":"1"},"tableIndex":-1,"rowIndex":20,"cellIndex":2,"fontSize":12,"issueTypeId":"SmallFontSizeIssue:XLSX","dismiss":false,"pageNumbers":[1],"coordinatesList":[[10.0,10.0,2.0,2.0]]},{"pageNumber":0,"geomIndex":1729,"lastGeomIndex":1733,"textElement":"3000","identifiers":{"ELEMENT_INDICES":"1"},"tableIndex":-1,"rowIndex":20,"cellIndex":3,"fontSize":12,"issueTypeId":"SmallFontSizeIssue:XLSX","dismiss":false,"pageNumbers":[1],"coordinatesList":[[10.0,10.0,2.0,2.0]]},{"pageNumber":0,"geomIndex":1740,"lastGeomIndex":1743,"textElement":"256","identifiers":{"ELEMENT_INDICES":"1"},"tableIndex":-1,"rowIndex":20,"cellIndex":7,"fontSize":12,"issueTypeId":"SmallFontSizeIssue:XLSX","dismiss":false,"pageNumbers":[1],"coordinatesList":[[10.0,10.0,2.0,2.0]]},{"pageNumber":0,"geomIndex":1743,"lastGeomIndex":1748,"textElement":"45000","identifiers":{"ELEMENT_INDICES":"1"},"tableIndex":-1,"rowIndex":20,"cellIndex":8,"fontSize":12,"issueTypeId":"SmallFontSizeIssue:XLSX","dismiss":false,"pageNumbers":[1],"coordinatesList":[[10.0,10.0,2.0,2.0]]},{"pageNumber":0,"geomIndex":1748,"lastGeomIndex":1751,"textElement":"USA","identifiers":{"ELEMENT_INDICES":"1"},"tableIndex":-1,"rowIndex":20,"cellIndex":9,"fontSize":12,"issueTypeId":"SmallFontSizeIssue:XLSX","dismiss":false,"pageNumbers":[1],"coordinatesList":[[10.0,10.0,2.0,2.0]]},{"pageNumber":0,"geomIndex":1751,"lastGeomIndex":1758,"textElement":"America","identifiers":{"ELEMENT_INDICES":"1"},"tableIndex":-1,"rowIndex":20,"cellIndex":10,"fontSize":12,"issueTypeId":"SmallFontSizeIssue:XLSX","dismiss":false,"pageNumbers":[1],"coordinatesList":[[10.0,10.0,2.0,2.0]]},{"pageNumber":0,"geomIndex":1763,"lastGeomIndex":1781,"textElement":"Cybertruck Tri Motor","identifiers":{"ELEMENT_INDICES":"1"},"tableIndex":-1,"rowIndex":21,"cellIndex":1,"fontSize":12,"issueTypeId":"SmallFontSizeIssue:XLSX","dismiss":false,"pageNumbers":[1],"coordinatesList":[[10.0,10.0,2.0,2.0]]},{"pageNumber":0,"geomIndex":1785,"lastGeomIndex":1789,"textElement":"3000","identifiers":{"ELEMENT_INDICES":"1"},"tableIndex":-1,"rowIndex":21,"cellIndex":3,"fontSize":12,"issueTypeId":"SmallFontSizeIssue:XLSX","dismiss":false,"pageNumbers":[1],"coordinatesList":[[10.0,10.0,2.0,2.0]]},{"pageNumber":0,"geomIndex":1792,"lastGeomIndex":1795,"textElement":"750","identifiers":{"ELEMENT_INDICES":"1"},"tableIndex":-1,"rowIndex":21,"cellIndex":5,"fontSize":12,"issueTypeId":"SmallFontSizeIssue:XLSX","dismiss":false,"pageNumbers":[1],"coordinatesList":[[10.0,10.0,2.0,2.0]]},{"pageNumber":0,"geomIndex":1799,"lastGeomIndex":1804,"textElement":"75000","identifiers":{"ELEMENT_INDICES":"1"},"tableIndex":-1,"rowIndex":21,"cellIndex":8,"fontSize":12,"issueTypeId":"SmallFontSizeIssue:XLSX","dismiss":false,"pageNumbers":[1],"coordinatesList":[[10.0,10.0,2.0,2.0]]},{"pageNumber":0,"geomIndex":1804,"lastGeomIndex":1807,"textElement":"USA","identifiers":{"ELEMENT_INDICES":"1"},"tableIndex":-1,"rowIndex":21,"cellIndex":9,"fontSize":12,"issueTypeId":"SmallFontSizeIssue:XLSX","dismiss":false,"pageNumbers":[1],"coordinatesList":[[10.0,10.0,2.0,2.0]]},{"pageNumber":0,"geomIndex":1807,"lastGeomIndex":1814,"textElement":"America","identifiers":{"ELEMENT_INDICES":"1"},"tableIndex":-1,"rowIndex":21,"cellIndex":10,"fontSize":12,"issueTypeId":"SmallFontSizeIssue:XLSX","dismiss":false,"pageNumbers":[1],"coordinatesList":[[10.0,10.0,2.0,2.0]]},{"pageNumber":0,"geomIndex":1814,"lastGeomIndex":1819,"textElement":"Honda","identifiers":{"ELEMENT_INDICES":"1"},"tableIndex":-1,"rowIndex":22,"cellIndex":0,"fontSize":12,"issueTypeId":"SmallFontSizeIssue:XLSX","dismiss":false,"pageNumbers":[1],"coordinatesList":[[10.0,10.0,2.0,2.0]]},{"pageNumber":0,"geomIndex":1820,"lastGeomIndex":1865,"textElement":"_xlfn.XLOOKUP($B23,Sheet2!$B:$B,Sheet2!$C:$C)","identifiers":{"ELEMENT_INDICES":"1"},"tableIndex":-1,"rowIndex":22,"cellIndex":2,"fontSize":12,"issueTypeId":"SmallFontSizeIssue:XLSX","dismiss":false,"pageNumbers":[1],"coordinatesList":[[10.0,10.0,2.0,2.0]]},{"pageNumber":0,"geomIndex":1865,"lastGeomIndex":1869,"textElement":"1514","identifiers":{"ELEMENT_INDICES":"1"},"tableIndex":-1,"rowIndex":22,"cellIndex":3,"fontSize":12,"issueTypeId":"SmallFontSizeIssue:XLSX","dismiss":false,"pageNumbers":[1],"coordinatesList":[[10.0,10.0,2.0,2.0]]},{"pageNumber":0,"geomIndex":1869,"lastGeomIndex":1872,"textElement":"145","identifiers":{"ELEMENT_INDICES":"1"},"tableIndex":-1,"rowIndex":22,"cellIndex":4,"fontSize":12,"issueTypeId":"SmallFontSizeIssue:XLSX","dismiss":false,"pageNumbers":[1],"coordinatesList":[[10.0,10.0,2.0,2.0]]},{"pageNumber":0,"geomIndex":1875,"lastGeomIndex":1878,"textElement":"9.5","identifiers":{"ELEMENT_INDICES":"1"},"tableIndex":-1,"rowIndex":22,"cellIndex":6,"fontSize":12,"issueTypeId":"SmallFontSizeIssue:XLSX","dismiss":false,"pageNumbers":[1],"coordinatesList":[[10.0,10.0,2.0,2.0]]},{"pageNumber":0,"geomIndex":1878,"lastGeomIndex":1881,"textElement":"168","identifiers":{"ELEMENT_INDICES":"1"},"tableIndex":-1,"rowIndex":22,"cellIndex":7,"fontSize":12,"issueTypeId":"SmallFontSizeIssue:XLSX","dismiss":false,"pageNumbers":[1],"coordinatesList":[[10.0,10.0,2.0,2.0]]},{"pageNumber":0,"geomIndex":1881,"lastGeomIndex":1886,"textElement":"32997","identifiers":{"ELEMENT_INDICES":"1"},"tableIndex":-1,"rowIndex":22,"cellIndex":8,"fontSize":12,"issueTypeId":"SmallFontSizeIssue:XLSX","dismiss":false,"pageNumbers":[1],"coordinatesList":[[10.0,10.0,2.0,2.0]]},{"pageNumber":0,"geomIndex":1886,"lastGeomIndex":1891,"textElement":"Japan","identifiers":{"ELEMENT_INDICES":"1"},"tableIndex":-1,"rowIndex":22,"cellIndex":9,"fontSize":12,"issueTypeId":"SmallFontSizeIssue:XLSX","dismiss":false,"pageNumbers":[1],"coordinatesList":[[10.0,10.0,2.0,2.0]]},{"pageNumber":0,"geomIndex":1891,"lastGeomIndex":1895,"textElement":"Asia","identifiers":{"ELEMENT_INDICES":"1"},"tableIndex":-1,"rowIndex":22,"cellIndex":10,"fontSize":12,"issueTypeId":"SmallFontSizeIssue:XLSX","dismiss":false,"pageNumbers":[1],"coordinatesList":[[10.0,10.0,2.0,2.0]]},{"pageNumber":0,"geomIndex":1895,"lastGeomIndex":1900,"textElement":"Honda","identifiers":{"ELEMENT_INDICES":"1"},"tableIndex":-1,"rowIndex":23,"cellIndex":0,"fontSize":12,"issueTypeId":"SmallFontSizeIssue:XLSX","dismiss":false,"pageNumbers":[1],"coordinatesList":[[10.0,10.0,2.0,2.0]]},{"pageNumber":0,"geomIndex":1900,"lastGeomIndex":1908,"textElement":"e Advance","identifiers":{"ELEMENT_INDICES":"1"},"tableIndex":-1,"rowIndex":23,"cellIndex":1,"fontSize":12,"issueTypeId":"SmallFontSizeIssue:XLSX","dismiss":false,"pageNumbers":[1],"coordinatesList":[[10.0,10.0,2.0,2.0]]},{"pageNumber":0,"geomIndex":1908,"lastGeomIndex":1953,"textElement":"_xlfn.XLOOKUP($B24,Sheet2!$B:$B,Sheet2!$C:$C)","identifiers":{"ELEMENT_INDICES":"1"},"tableIndex":-1,"rowIndex":23,"cellIndex":2,"fontSize":12,"issueTypeId":"SmallFontSizeIssue:XLSX","dismiss":false,"pageNumbers":[1],"coordinatesList":[[10.0,10.0,2.0,2.0]]},{"pageNumber":0,"geomIndex":1953,"lastGeomIndex":1957,"textElement":"1543","identifiers":{"ELEMENT_INDICES":"1"},"tableIndex":-1,"rowIndex":23,"cellIndex":3,"fontSize":12,"issueTypeId":"SmallFontSizeIssue:XLSX","dismiss":false,"pageNumbers":[1],"coordinatesList":[[10.0,10.0,2.0,2.0]]},{"pageNumber":0,"geomIndex":1957,"lastGeomIndex":1960,"textElement":"145","identifiers":{"ELEMENT_INDICES":"1"},"tableIndex":-1,"rowIndex":23,"cellIndex":4,"fontSize":12,"issueTypeId":"SmallFontSizeIssue:XLSX","dismiss":false,"pageNumbers":[1],"coordinatesList":[[10.0,10.0,2.0,2.0]]},{"pageNumber":0,"geomIndex":1963,"lastGeomIndex":1966,"textElement":"8.3","identifiers":{"ELEMENT_INDICES":"1"},"tableIndex":-1,"rowIndex":23,"cellIndex":6,"fontSize":12,"issueTypeId":"SmallFontSizeIssue:XLSX","dismiss":false,"pageNumbers":[1],"coordinatesList":[[10.0,10.0,2.0,2.0]]},{"pageNumber":0,"geomIndex":1966,"lastGeomIndex":1969,"textElement":"168","identifiers":{"ELEMENT_INDICES":"1"},"tableIndex":-1,"rowIndex":23,"cellIndex":7,"fontSize":12,"issueTypeId":"SmallFontSizeIssue:XLSX","dismiss":false,"pageNumbers":[1],"coordinatesList":[[10.0,10.0,2.0,2.0]]},{"pageNumber":0,"geomIndex":1969,"lastGeomIndex":1974,"textElement":"35921","identifiers":{"ELEMENT_INDICES":"1"},"tableIndex":-1,"rowIndex":23,"cellIndex":8,"fontSize":12,"issueTypeId":"SmallFontSizeIssue:XLSX","dismiss":false,"pageNumbers":[1],"coordinatesList":[[10.0,10.0,2.0,2.0]]},{"pageNumber":0,"geomIndex":1974,"lastGeomIndex":1979,"textElement":"Japan","identifiers":{"ELEMENT_INDICES":"1"},"tableIndex":-1,"rowIndex":23,"cellIndex":9,"fontSize":12,"issueTypeId":"SmallFontSizeIssue:XLSX","dismiss":false,"pageNumbers":[1],"coordinatesList":[[10.0,10.0,2.0,2.0]]},{"pageNumber":0,"geomIndex":1979,"lastGeomIndex":1983,"textElement":"Asia","identifiers":{"ELEMENT_INDICES":"1"},"tableIndex":-1,"rowIndex":23,"cellIndex":10,"fontSize":12,"issueTypeId":"SmallFontSizeIssue:XLSX","dismiss":false,"pageNumbers":[1],"coordinatesList":[[10.0,10.0,2.0,2.0]]},{"pageNumber":0,"geomIndex":1983,"lastGeomIndex":1990,"textElement":"Peugeot","identifiers":{"ELEMENT_INDICES":"1"},"tableIndex":-1,"rowIndex":24,"cellIndex":0,"fontSize":12,"issueTypeId":"SmallFontSizeIssue:XLSX","dismiss":false,"pageNumbers":[1],"coordinatesList":[[10.0,10.0,2.0,2.0]]},{"pageNumber":0,"geomIndex":1990,"lastGeomIndex":1999,"textElement":"e-2008 SUV","identifiers":{"ELEMENT_INDICES":"1"},"tableIndex":-1,"rowIndex":24,"cellIndex":1,"fontSize":12,"issueTypeId":"SmallFontSizeIssue:XLSX","dismiss":false,"pageNumbers":[1],"coordinatesList":[[10.0,10.0,2.0,2.0]]},{"pageNumber":0,"geomIndex":1999,"lastGeomIndex":2044,"textElement":"_xlfn.XLOOKUP($B25,Sheet2!$B:$B,Sheet2!$C:$C)","identifiers":{"ELEMENT_INDICES":"1"},"tableIndex":-1,"rowIndex":24,"cellIndex":2,"fontSize":12,"issueTypeId":"SmallFontSizeIssue:XLSX","dismiss":false,"pageNumbers":[1],"coordinatesList":[[10.0,10.0,2.0,2.0]]},{"pageNumber":0,"geomIndex":2044,"lastGeomIndex":2048,"textElement":"1548","identifiers":{"ELEMENT_INDICES":"1"},"tableIndex":-1,"rowIndex":24,"cellIndex":3,"fontSize":12,"issueTypeId":"SmallFontSizeIssue:XLSX","dismiss":false,"pageNumbers":[1],"coordinatesList":[[10.0,10.0,2.0,2.0]]},{"pageNumber":0,"geomIndex":2054,"lastGeomIndex":2057,"textElement":"8.5","identifiers":{"ELEMENT_INDICES":"1"},"tableIndex":-1,"rowIndex":24,"cellIndex":6,"fontSize":12,"issueTypeId":"SmallFontSizeIssue:XLSX","dismiss":false,"pageNumbers":[1],"coordinatesList":[[10.0,10.0,2.0,2.0]]},{"pageNumber":0,"geomIndex":2060,"lastGeomIndex":2065,"textElement":"34361","identifiers":{"ELEMENT_INDICES":"1"},"tableIndex":-1,"rowIndex":24,"cellIndex":8,"fontSize":12,"issueTypeId":"SmallFontSizeIssue:XLSX","dismiss":false,"pageNumbers":[1],"coordinatesList":[[10.0,10.0,2.0,2.0]]},{"pageNumber":0,"geomIndex":2065,"lastGeomIndex":2071,"textElement":"France","identifiers":{"ELEMENT_INDICES":"1"},"tableIndex":-1,"rowIndex":24,"cellIndex":9,"fontSize":12,"issueTypeId":"SmallFontSizeIssue:XLSX","dismiss":false,"pageNumbers":[1],"coordinatesList":[[10.0,10.0,2.0,2.0]]},{"pageNumber":0,"geomIndex":2071,"lastGeomIndex":2077,"textElement":"Europe","identifiers":{"ELEMENT_INDICES":"1"},"tableIndex":-1,"rowIndex":24,"cellIndex":10,"fontSize":12,"issueTypeId":"SmallFontSizeIssue:XLSX","dismiss":false,"pageNumbers":[1],"coordinatesList":[[10.0,10.0,2.0,2.0]]},{"pageNumber":0,"geomIndex":2077,"lastGeomIndex":2084,"textElement":"Peugeot","identifiers":{"ELEMENT_INDICES":"1"},"tableIndex":-1,"rowIndex":25,"cellIndex":0,"fontSize":12,"issueTypeId":"SmallFontSizeIssue:XLSX","dismiss":false,"pageNumbers":[1],"coordinatesList":[[10.0,10.0,2.0,2.0]]},{"pageNumber":0,"geomIndex":2084,"lastGeomIndex":2089,"textElement":"e-208","identifiers":{"ELEMENT_INDICES":"1"},"tableIndex":-1,"rowIndex":25,"cellIndex":1,"fontSize":12,"issueTypeId":"SmallFontSizeIssue:XLSX","dismiss":false,"pageNumbers":[1],"coordinatesList":[[10.0,10.0,2.0,2.0]]},{"pageNumber":0,"geomIndex":2089,"lastGeomIndex":2134,"textElement":"_xlfn.XLOOKUP($B26,Sheet2!$B:$B,Sheet2!$C:$C)","identifiers":{"ELEMENT_INDICES":"1"},"tableIndex":-1,"rowIndex":25,"cellIndex":2,"fontSize":12,"issueTypeId":"SmallFontSizeIssue:XLSX","dismiss":false,"pageNumbers":[1],"coordinatesList":[[10.0,10.0,2.0,2.0]]},{"pageNumber":0,"geomIndex":2134,"lastGeomIndex":2138,"textElement":"1455","identifiers":{"ELEMENT_INDICES":"1"},"tableIndex":-1,"rowIndex":25,"cellIndex":3,"fontSize":12,"issueTypeId":"SmallFontSizeIssue:XLSX","dismiss":false,"pageNumbers":[1],"coordinatesList":[[10.0,10.0,2.0,2.0]]},{"pageNumber":0,"geomIndex":2141,"lastGeomIndex":2144,"textElement":"275","identifiers":{"ELEMENT_INDICES":"1"},"tableIndex":-1,"rowIndex":25,"cellIndex":5,"fontSize":12,"issueTypeId":"SmallFontSizeIssue:XLSX","dismiss":false,"pageNumbers":[1],"coordinatesList":[[10.0,10.0,2.0,2.0]]},{"pageNumber":0,"geomIndex":2144,"lastGeomIndex":2147,"textElement":"8.1","identifiers":{"ELEMENT_INDICES":"1"},"tableIndex":-1,"rowIndex":25,"cellIndex":6,"fontSize":12,"issueTypeId":"SmallFontSizeIssue:XLSX","dismiss":false,"pageNumbers":[1],"coordinatesList":[[10.0,10.0,2.0,2.0]]},{"pageNumber":0,"geomIndex":2147,"lastGeomIndex":2150,"textElement":"164","identifiers":{"ELEMENT_INDICES":"1"},"tableIndex":-1,"rowIndex":25,"cellIndex":7,"fontSize":12,"issueTypeId":"SmallFontSizeIssue:XLSX","dismiss":false,"pageNumbers":[1],"coordinatesList":[[10.0,10.0,2.0,2.0]]},{"pageNumber":0,"geomIndex":2150,"lastGeomIndex":2155,"textElement":"29682","identifiers":{"ELEMENT_INDICES":"1"},"tableIndex":-1,"rowIndex":25,"cellIndex":8,"fontSize":12,"issueTypeId":"SmallFontSizeIssue:XLSX","dismiss":false,"pageNumbers":[1],"coordinatesList":[[10.0,10.0,2.0,2.0]]},{"pageNumber":0,"geomIndex":2155,"lastGeomIndex":2161,"textElement":"France","identifiers":{"ELEMENT_INDICES":"1"},"tableIndex":-1,"rowIndex":25,"cellIndex":9,"fontSize":12,"issueTypeId":"SmallFontSizeIssue:XLSX","dismiss":false,"pageNumbers":[1],"coordinatesList":[[10.0,10.0,2.0,2.0]]},{"pageNumber":0,"geomIndex":2161,"lastGeomIndex":2167,"textElement":"Europe","identifiers":{"ELEMENT_INDICES":"1"},"tableIndex":-1,"rowIndex":25,"cellIndex":10,"fontSize":12,"issueTypeId":"SmallFontSizeIssue:XLSX","dismiss":false,"pageNumbers":[1],"coordinatesList":[[10.0,10.0,2.0,2.0]]},{"pageNumber":0,"geomIndex":2167,"lastGeomIndex":2174,"textElement":"Citroen","identifiers":{"ELEMENT_INDICES":"1"},"tableIndex":-1,"rowIndex":26,"cellIndex":0,"fontSize":12,"issueTypeId":"SmallFontSizeIssue:XLSX","dismiss":false,"pageNumbers":[1],"coordinatesList":[[10.0,10.0,2.0,2.0]]},{"pageNumber":0,"geomIndex":2174,"lastGeomIndex":2178,"textElement":"e-C4","identifiers":{"ELEMENT_INDICES":"1"},"tableIndex":-1,"rowIndex":26,"cellIndex":1,"fontSize":12,"issueTypeId":"SmallFontSizeIssue:XLSX","dismiss":false,"pageNumbers":[1],"coordinatesList":[[10.0,10.0,2.0,2.0]]},{"pageNumber":0,"geomIndex":2178,"lastGeomIndex":2223,"textElement":"_xlfn.XLOOKUP($B27,Sheet2!$B:$B,Sheet2!$C:$C)","identifiers":{"ELEMENT_INDICES":"1"},"tableIndex":-1,"rowIndex":26,"cellIndex":2,"fontSize":12,"issueTypeId":"SmallFontSizeIssue:XLSX","dismiss":false,"pageNumbers":[1],"coordinatesList":[[10.0,10.0,2.0,2.0]]},{"pageNumber":0,"geomIndex":2223,"lastGeomIndex":2227,"textElement":"1541","identifiers":{"ELEMENT_INDICES":"1"},"tableIndex":-1,"rowIndex":26,"cellIndex":3,"fontSize":12,"issueTypeId":"SmallFontSizeIssue:XLSX","dismiss":false,"pageNumbers":[1],"coordinatesList":[[10.0,10.0,2.0,2.0]]},{"pageNumber":0,"geomIndex":2233,"lastGeomIndex":2236,"textElement":"9.7","identifiers":{"ELEMENT_INDICES":"1"},"tableIndex":-1,"rowIndex":26,"cellIndex":6,"fontSize":12,"issueTypeId":"SmallFontSizeIssue:XLSX","dismiss":false,"pageNumbers":[1],"coordinatesList":[[10.0,10.0,2.0,2.0]]},{"pageNumber":0,"geomIndex":2239,"lastGeomIndex":2244,"textElement":"40000","identifiers":{"ELEMENT_INDICES":"1"},"tableIndex":-1,"rowIndex":26,"cellIndex":8,"fontSize":12,"issueTypeId":"SmallFontSizeIssue:XLSX","dismiss":false,"pageNumbers":[1],"coordinatesList":[[10.0,10.0,2.0,2.0]]},{"pageNumber":0,"geomIndex":2244,"lastGeomIndex":2250,"textElement":"France","identifiers":{"ELEMENT_INDICES":"1"},"tableIndex":-1,"rowIndex":26,"cellIndex":9,"fontSize":12,"issueTypeId":"SmallFontSizeIssue:XLSX","dismiss":false,"pageNumbers":[1],"coordinatesList":[[10.0,10.0,2.0,2.0]]},{"pageNumber":0,"geomIndex":2250,"lastGeomIndex":2256,"textElement":"Europe","identifiers":{"ELEMENT_INDICES":"1"},"tableIndex":-1,"rowIndex":26,"cellIndex":10,"fontSize":12,"issueTypeId":"SmallFontSizeIssue:XLSX","dismiss":false,"pageNumbers":[1],"coordinatesList":[[10.0,10.0,2.0,2.0]]},{"pageNumber":0,"geomIndex":2256,"lastGeomIndex":2266,"textElement":"Volkswagen","identifiers":{"ELEMENT_INDICES":"1"},"tableIndex":-1,"rowIndex":27,"cellIndex":0,"fontSize":12,"issueTypeId":"SmallFontSizeIssue:XLSX","dismiss":false,"pageNumbers":[1],"coordinatesList":[[10.0,10.0,2.0,2.0]]},{"pageNumber":0,"geomIndex":2266,"lastGeomIndex":2272,"textElement":"e-Golf","identifiers":{"ELEMENT_INDICES":"1"},"tableIndex":-1,"rowIndex":27,"cellIndex":1,"fontSize":12,"issueTypeId":"SmallFontSizeIssue:XLSX","dismiss":false,"pageNumbers":[1],"coordinatesList":[[10.0,10.0,2.0,2.0]]},{"pageNumber":0,"geomIndex":2272,"lastGeomIndex":2317,"textElement":"_xlfn.XLOOKUP($B28,Sheet2!$B:$B,Sheet2!$C:$C)","identifiers":{"ELEMENT_INDICES":"1"},"tableIndex":-1,"rowIndex":27,"cellIndex":2,"fontSize":12,"issueTypeId":"SmallFontSizeIssue:XLSX","dismiss":false,"pageNumbers":[1],"coordinatesList":[[10.0,10.0,2.0,2.0]]},{"pageNumber":0,"geomIndex":2317,"lastGeomIndex":2321,"textElement":"1585","identifiers":{"ELEMENT_INDICES":"1"},"tableIndex":-1,"rowIndex":27,"cellIndex":3,"fontSize":12,"issueTypeId":"SmallFontSizeIssue:XLSX","dismiss":false,"pageNumbers":[1],"coordinatesList":[[10.0,10.0,2.0,2.0]]},{"pageNumber":0,"geomIndex":2327,"lastGeomIndex":2330,"textElement":"9.6","identifiers":{"ELEMENT_INDICES":"1"},"tableIndex":-1,"rowIndex":27,"cellIndex":6,"fontSize":12,"issueTypeId":"SmallFontSizeIssue:XLSX","dismiss":false,"pageNumbers":[1],"coordinatesList":[[10.0,10.0,2.0,2.0]]},{"pageNumber":0,"geomIndex":2330,"lastGeomIndex":2333,"textElement":"168","identifiers":{"ELEMENT_INDICES":"1"},"tableIndex":-1,"rowIndex":27,"cellIndex":7,"fontSize":12,"issueTypeId":"SmallFontSizeIssue:XLSX","dismiss":false,"pageNumbers":[1],"coordinatesList":[[10.0,10.0,2.0,2.0]]},{"pageNumber":0,"geomIndex":2333,"lastGeomIndex":2338,"textElement":"31900","identifiers":{"ELEMENT_INDICES":"1"},"tableIndex":-1,"rowIndex":27,"cellIndex":8,"fontSize":12,"issueTypeId":"SmallFontSizeIssue:XLSX","dismiss":false,"pageNumbers":[1],"coordinatesList":[[10.0,10.0,2.0,2.0]]},{"pageNumber":0,"geomIndex":2338,"lastGeomIndex":2345,"textElement":"Germany","identifiers":{"ELEMENT_INDICES":"1"},"tableIndex":-1,"rowIndex":27,"cellIndex":9,"fontSize":12,"issueTypeId":"SmallFontSizeIssue:XLSX","dismiss":false,"pageNumbers":[1],"coordinatesList":[[10.0,10.0,2.0,2.0]]},{"pageNumber":0,"geomIndex":2345,"lastGeomIndex":2351,"textElement":"Europe","identifiers":{"ELEMENT_INDICES":"1"},"tableIndex":-1,"rowIndex":27,"cellIndex":10,"fontSize":12,"issueTypeId":"SmallFontSizeIssue:XLSX","dismiss":false,"pageNumbers":[1],"coordinatesList":[[10.0,10.0,2.0,2.0]]},{"pageNumber":0,"geomIndex":2354,"lastGeomIndex":2365,"textElement":"e-Niro 39 kWh","identifiers":{"ELEMENT_INDICES":"1"},"tableIndex":-1,"rowIndex":28,"cellIndex":1,"fontSize":12,"issueTypeId":"SmallFontSizeIssue:XLSX","dismiss":false,"pageNumbers":[1],"coordinatesList":[[10.0,10.0,2.0,2.0]]},{"pageNumber":0,"geomIndex":2365,"lastGeomIndex":2410,"textElement":"_xlfn.XLOOKUP($B29,Sheet2!$B:$B,Sheet2!$C:$C)","identifiers":{"ELEMENT_INDICES":"1"},"tableIndex":-1,"rowIndex":28,"cellIndex":2,"fontSize":12,"issueTypeId":"SmallFontSizeIssue:XLSX","dismiss":false,"pageNumbers":[1],"coordinatesList":[[10.0,10.0,2.0,2.0]]},{"pageNumber":0,"geomIndex":2410,"lastGeomIndex":2414,"textElement":"1750","identifiers":{"ELEMENT_INDICES":"1"},"tableIndex":-1,"rowIndex":28,"cellIndex":3,"fontSize":12,"issueTypeId":"SmallFontSizeIssue:XLSX","dismiss":false,"pageNumbers":[1],"coordinatesList":[[10.0,10.0,2.0,2.0]]},{"pageNumber":0,"geomIndex":2420,"lastGeomIndex":2423,"textElement":"9.8","identifiers":{"ELEMENT_INDICES":"1"},"tableIndex":-1,"rowIndex":28,"cellIndex":6,"fontSize":12,"issueTypeId":"SmallFontSizeIssue:XLSX","dismiss":false,"pageNumbers":[1],"coordinatesList":[[10.0,10.0,2.0,2.0]]},{"pageNumber":0,"geomIndex":2426,"lastGeomIndex":2431,"textElement":"34400","identifiers":{"ELEMENT_INDICES":"1"},"tableIndex":-1,"rowIndex":28,"cellIndex":8,"fontSize":12,"issueTypeId":"SmallFontSizeIssue:XLSX","dismiss":false,"pageNumbers":[1],"coordinatesList":[[10.0,10.0,2.0,2.0]]},{"pageNumber":0,"geomIndex":2431,"lastGeomIndex":2441,"textElement":"South Korea","identifiers":{"ELEMENT_INDICES":"1"},"tableIndex":-1,"rowIndex":28,"cellIndex":9,"fontSize":12,"issueTypeId":"SmallFontSizeIssue:XLSX","dismiss":false,"pageNumbers":[1],"coordinatesList":[[10.0,10.0,2.0,2.0]]},{"pageNumber":0,"geomIndex":2441,"lastGeomIndex":2445,"textElement":"Asia","identifiers":{"ELEMENT_INDICES":"1"},"tableIndex":-1,"rowIndex":28,"cellIndex":10,"fontSize":12,"issueTypeId":"SmallFontSizeIssue:XLSX","dismiss":false,"pageNumbers":[1],"coordinatesList":[[10.0,10.0,2.0,2.0]]},{"pageNumber":0,"geomIndex":2448,"lastGeomIndex":2459,"textElement":"e-Niro 64 kWh","identifiers":{"ELEMENT_INDICES":"1"},"tableIndex":-1,"rowIndex":29,"cellIndex":1,"fontSize":12,"issueTypeId":"SmallFontSizeIssue:XLSX","dismiss":false,"pageNumbers":[1],"coordinatesList":[[10.0,10.0,2.0,2.0]]},{"pageNumber":0,"geomIndex":2459,"lastGeomIndex":2504,"textElement":"_xlfn.XLOOKUP($B30,Sheet2!$B:$B,Sheet2!$C:$C)","identifiers":{"ELEMENT_INDICES":"1"},"tableIndex":-1,"rowIndex":29,"cellIndex":2,"fontSize":12,"issueTypeId":"SmallFontSizeIssue:XLSX","dismiss":false,"pageNumbers":[1],"coordinatesList":[[10.0,10.0,2.0,2.0]]},{"pageNumber":0,"geomIndex":2504,"lastGeomIndex":2508,"textElement":"1812","identifiers":{"ELEMENT_INDICES":"1"},"tableIndex":-1,"rowIndex":29,"cellIndex":3,"fontSize":12,"issueTypeId":"SmallFontSizeIssue:XLSX","dismiss":false,"pageNumbers":[1],"coordinatesList":[[10.0,10.0,2.0,2.0]]},{"pageNumber":0,"geomIndex":2514,"lastGeomIndex":2517,"textElement":"7.8","identifiers":{"ELEMENT_INDICES":"1"},"tableIndex":-1,"rowIndex":29,"cellIndex":6,"fontSize":12,"issueTypeId":"SmallFontSizeIssue:XLSX","dismiss":false,"pageNumbers":[1],"coordinatesList":[[10.0,10.0,2.0,2.0]]},{"pageNumber":0,"geomIndex":2520,"lastGeomIndex":2525,"textElement":"38105","identifiers":{"ELEMENT_INDICES":"1"},"tableIndex":-1,"rowIndex":29,"cellIndex":8,"fontSize":12,"issueTypeId":"SmallFontSizeIssue:XLSX","dismiss":false,"pageNumbers":[1],"coordinatesList":[[10.0,10.0,2.0,2.0]]},{"pageNumber":0,"geomIndex":2525,"lastGeomIndex":2535,"textElement":"South Korea","identifiers":{"ELEMENT_INDICES":"1"},"tableIndex":-1,"rowIndex":29,"cellIndex":9,"fontSize":12,"issueTypeId":"SmallFontSizeIssue:XLSX","dismiss":false,"pageNumbers":[1],"coordinatesList":[[10.0,10.0,2.0,2.0]]},{"pageNumber":0,"geomIndex":2535,"lastGeomIndex":2539,"textElement":"Asia","identifiers":{"ELEMENT_INDICES":"1"},"tableIndex":-1,"rowIndex":29,"cellIndex":10,"fontSize":12,"issueTypeId":"SmallFontSizeIssue:XLSX","dismiss":false,"pageNumbers":[1],"coordinatesList":[[10.0,10.0,2.0,2.0]]},{"pageNumber":0,"geomIndex":2545,"lastGeomIndex":2558,"textElement":"e-NV200 Evalia","identifiers":{"ELEMENT_INDICES":"1"},"tableIndex":-1,"rowIndex":30,"cellIndex":1,"fontSize":12,"issueTypeId":"SmallFontSizeIssue:XLSX","dismiss":false,"pageNumbers":[1],"coordinatesList":[[10.0,10.0,2.0,2.0]]},{"pageNumber":0,"geomIndex":2558,"lastGeomIndex":2603,"textElement":"_xlfn.XLOOKUP($B31,Sheet2!$B:$B,Sheet2!$C:$C)","identifiers":{"ELEMENT_INDICES":"1"},"tableIndex":-1,"rowIndex":30,"cellIndex":2,"fontSize":12,"issueTypeId":"SmallFontSizeIssue:XLSX","dismiss":false,"pageNumbers":[1],"coordinatesList":[[10.0,10.0,2.0,2.0]]},{"pageNumber":0,"geomIndex":2603,"lastGeomIndex":2607,"textElement":"1551","identifiers":{"ELEMENT_INDICES":"1"},"tableIndex":-1,"rowIndex":30,"cellIndex":3,"fontSize":12,"issueTypeId":"SmallFontSizeIssue:XLSX","dismiss":false,"pageNumbers":[1],"coordinatesList":[[10.0,10.0,2.0,2.0]]},{"pageNumber":0,"geomIndex":2618,"lastGeomIndex":2623,"textElement":"33246","identifiers":{"ELEMENT_INDICES":"1"},"tableIndex":-1,"rowIndex":30,"cellIndex":8,"fontSize":12,"issueTypeId":"SmallFontSizeIssue:XLSX","dismiss":false,"pageNumbers":[1],"coordinatesList":[[10.0,10.0,2.0,2.0]]},{"pageNumber":0,"geomIndex":2623,"lastGeomIndex":2628,"textElement":"Japan","identifiers":{"ELEMENT_INDICES":"1"},"tableIndex":-1,"rowIndex":30,"cellIndex":9,"fontSize":12,"issueTypeId":"SmallFontSizeIssue:XLSX","dismiss":false,"pageNumbers":[1],"coordinatesList":[[10.0,10.0,2.0,2.0]]},{"pageNumber":0,"geomIndex":2628,"lastGeomIndex":2632,"textElement":"Asia","identifiers":{"ELEMENT_INDICES":"1"},"tableIndex":-1,"rowIndex":30,"cellIndex":10,"fontSize":12,"issueTypeId":"SmallFontSizeIssue:XLSX","dismiss":false,"pageNumbers":[1],"coordinatesList":[[10.0,10.0,2.0,2.0]]},{"pageNumber":0,"geomIndex":2635,"lastGeomIndex":2646,"textElement":"e-Soul 39 kWh","identifiers":{"ELEMENT_INDICES":"1"},"tableIndex":-1,"rowIndex":31,"cellIndex":1,"fontSize":12,"issueTypeId":"SmallFontSizeIssue:XLSX","dismiss":false,"pageNumbers":[1],"coordinatesList":[[10.0,10.0,2.0,2.0]]},{"pageNumber":0,"geomIndex":2646,"lastGeomIndex":2691,"textElement":"_xlfn.XLOOKUP($B32,Sheet2!$B:$B,Sheet2!$C:$C)","identifiers":{"ELEMENT_INDICES":"1"},"tableIndex":-1,"rowIndex":31,"cellIndex":2,"fontSize":12,"issueTypeId":"SmallFontSizeIssue:XLSX","dismiss":false,"pageNumbers":[1],"coordinatesList":[[10.0,10.0,2.0,2.0]]},{"pageNumber":0,"geomIndex":2691,"lastGeomIndex":2695,"textElement":"1723","identifiers":{"ELEMENT_INDICES":"1"},"tableIndex":-1,"rowIndex":31,"cellIndex":3,"fontSize":12,"issueTypeId":"SmallFontSizeIssue:XLSX","dismiss":false,"pageNumbers":[1],"coordinatesList":[[10.0,10.0,2.0,2.0]]},{"pageNumber":0,"geomIndex":2701,"lastGeomIndex":2704,"textElement":"9.9","identifiers":{"ELEMENT_INDICES":"1"},"tableIndex":-1,"rowIndex":31,"cellIndex":6,"fontSize":12,"issueTypeId":"SmallFontSizeIssue:XLSX","dismiss":false,"pageNumbers":[1],"coordinatesList":[[10.0,10.0,2.0,2.0]]},{"pageNumber":0,"geomIndex":2707,"lastGeomIndex":2712,"textElement":"33133","identifiers":{"ELEMENT_INDICES":"1"},"tableIndex":-1,"rowIndex":31,"cellIndex":8,"fontSize":12,"issueTypeId":"SmallFontSizeIssue:XLSX","dismiss":false,"pageNumbers":[1],"coordinatesList":[[10.0,10.0,2.0,2.0]]},{"pageNumber":0,"geomIndex":2712,"lastGeomIndex":2722,"textElement":"South Korea","identifiers":{"ELEMENT_INDICES":"1"},"tableIndex":-1,"rowIndex":31,"cellIndex":9,"fontSize":12,"issueTypeId":"SmallFontSizeIssue:XLSX","dismiss":false,"pageNumbers":[1],"coordinatesList":[[10.0,10.0,2.0,2.0]]},{"pageNumber":0,"geomIndex":2722,"lastGeomIndex":2726,"textElement":"Asia","identifiers":{"ELEMENT_INDICES":"1"},"tableIndex":-1,"rowIndex":31,"cellIndex":10,"fontSize":12,"issueTypeId":"SmallFontSizeIssue:XLSX","dismiss":false,"pageNumbers":[1],"coordinatesList":[[10.0,10.0,2.0,2.0]]},{"pageNumber":0,"geomIndex":2729,"lastGeomIndex":2740,"textElement":"e-Soul 64 kWh","identifiers":{"ELEMENT_INDICES":"1"},"tableIndex":-1,"rowIndex":32,"cellIndex":1,"fontSize":12,"issueTypeId":"SmallFontSizeIssue:XLSX","dismiss":false,"pageNumbers":[1],"coordinatesList":[[10.0,10.0,2.0,2.0]]},{"pageNumber":0,"geomIndex":2740,"lastGeomIndex":2785,"textElement":"_xlfn.XLOOKUP($B33,Sheet2!$B:$B,Sheet2!$C:$C)","identifiers":{"ELEMENT_INDICES":"1"},"tableIndex":-1,"rowIndex":32,"cellIndex":2,"fontSize":12,"issueTypeId":"SmallFontSizeIssue:XLSX","dismiss":false,"pageNumbers":[1],"coordinatesList":[[10.0,10.0,2.0,2.0]]},{"pageNumber":0,"geomIndex":2785,"lastGeomIndex":2789,"textElement":"1757","identifiers":{"ELEMENT_INDICES":"1"},"tableIndex":-1,"rowIndex":32,"cellIndex":3,"fontSize":12,"issueTypeId":"SmallFontSizeIssue:XLSX","dismiss":false,"pageNumbers":[1],"coordinatesList":[[10.0,10.0,2.0,2.0]]},{"pageNumber":0,"geomIndex":2795,"lastGeomIndex":2798,"textElement":"7.9","identifiers":{"ELEMENT_INDICES":"1"},"tableIndex":-1,"rowIndex":32,"cellIndex":6,"fontSize":12,"issueTypeId":"SmallFontSizeIssue:XLSX","dismiss":false,"pageNumbers":[1],"coordinatesList":[[10.0,10.0,2.0,2.0]]},{"pageNumber":0,"geomIndex":2798,"lastGeomIndex":2801,"textElement":"175","identifiers":{"ELEMENT_INDICES":"1"},"tableIndex":-1,"rowIndex":32,"cellIndex":7,"fontSize":12,"issueTypeId":"SmallFontSizeIssue:XLSX","dismiss":false,"pageNumbers":[1],"coordinatesList":[[10.0,10.0,2.0,2.0]]},{"pageNumber":0,"geomIndex":2801,"lastGeomIndex":2806,"textElement":"36837","identifiers":{"ELEMENT_INDICES":"1"},"tableIndex":-1,"rowIndex":32,"cellIndex":8,"fontSize":12,"issueTypeId":"SmallFontSizeIssue:XLSX","dismiss":false,"pageNumbers":[1],"coordinatesList":[[10.0,10.0,2.0,2.0]]},{"pageNumber":0,"geomIndex":2806,"lastGeomIndex":2816,"textElement":"South Korea","identifiers":{"ELEMENT_INDICES":"1"},"tableIndex":-1,"rowIndex":32,"cellIndex":9,"fontSize":12,"issueTypeId":"SmallFontSizeIssue:XLSX","dismiss":false,"pageNumbers":[1],"coordinatesList":[[10.0,10.0,2.0,2.0]]},{"pageNumber":0,"geomIndex":2816,"lastGeomIndex":2820,"textElement":"Asia","identifiers":{"ELEMENT_INDICES":"1"},"tableIndex":-1,"rowIndex":32,"cellIndex":10,"fontSize":12,"issueTypeId":"SmallFontSizeIssue:XLSX","dismiss":false,"pageNumbers":[1],"coordinatesList":[[10.0,10.0,2.0,2.0]]},{"pageNumber":0,"geomIndex":2824,"lastGeomIndex":2839,"textElement":"e-tron 50 quattro","identifiers":{"ELEMENT_INDICES":"1"},"tableIndex":-1,"rowIndex":33,"cellIndex":1,"fontSize":12,"issueTypeId":"SmallFontSizeIssue:XLSX","dismiss":false,"pageNumbers":[1],"coordinatesList":[[10.0,10.0,2.0,2.0]]},{"pageNumber":0,"geomIndex":2839,"lastGeomIndex":2884,"textElement":"_xlfn.XLOOKUP($B34,Sheet2!$B:$B,Sheet2!$C:$C)","identifiers":{"ELEMENT_INDICES":"1"},"tableIndex":-1,"rowIndex":33,"cellIndex":2,"fontSize":12,"issueTypeId":"SmallFontSizeIssue:XLSX","dismiss":false,"pageNumbers":[1],"coordinatesList":[[10.0,10.0,2.0,2.0]]},{"pageNumber":0,"geomIndex":2884,"lastGeomIndex":2888,"textElement":"2565","identifiers":{"ELEMENT_INDICES":"1"},"tableIndex":-1,"rowIndex":33,"cellIndex":3,"fontSize":12,"issueTypeId":"SmallFontSizeIssue:XLSX","dismiss":false,"pageNumbers":[1],"coordinatesList":[[10.0,10.0,2.0,2.0]]},{"pageNumber":0,"geomIndex":2888,"lastGeomIndex":2891,"textElement":"190","identifiers":{"ELEMENT_INDICES":"1"},"tableIndex":-1,"rowIndex":33,"cellIndex":4,"fontSize":12,"issueTypeId":"SmallFontSizeIssue:XLSX","dismiss":false,"pageNumbers":[1],"coordinatesList":[[10.0,10.0,2.0,2.0]]},{"pageNumber":0,"geomIndex":2891,"lastGeomIndex":2894,"textElement":"280","identifiers":{"ELEMENT_INDICES":"1"},"tableIndex":-1,"rowIndex":33,"cellIndex":5,"fontSize":12,"issueTypeId":"SmallFontSizeIssue:XLSX","dismiss":false,"pageNumbers":[1],"coordinatesList":[[10.0,10.0,2.0,2.0]]},{"pageNumber":0,"geomIndex":2894,"lastGeomIndex":2897,"textElement":"6.8","identifiers":{"ELEMENT_INDICES":"1"},"tableIndex":-1,"rowIndex":33,"cellIndex":6,"fontSize":12,"issueTypeId":"SmallFontSizeIssue:XLSX","dismiss":false,"pageNumbers":[1],"coordinatesList":[[10.0,10.0,2.0,2.0]]},{"pageNumber":0,"geomIndex":2900,"lastGeomIndex":2905,"textElement":"67358","identifiers":{"ELEMENT_INDICES":"1"},"tableIndex":-1,"rowIndex":33,"cellIndex":8,"fontSize":12,"issueTypeId":"SmallFontSizeIssue:XLSX","dismiss":false,"pageNumbers":[1],"coordinatesList":[[10.0,10.0,2.0,2.0]]},{"pageNumber":0,"geomIndex":2905,"lastGeomIndex":2912,"textElement":"Germany","identifiers":{"ELEMENT_INDICES":"1"},"tableIndex":-1,"rowIndex":33,"cellIndex":9,"fontSize":12,"issueTypeId":"SmallFontSizeIssue:XLSX","dismiss":false,"pageNumbers":[1],"coordinatesList":[[10.0,10.0,2.0,2.0]]},{"pageNumber":0,"geomIndex":2912,"lastGeomIndex":2918,"textElement":"Europe","identifiers":{"ELEMENT_INDICES":"1"},"tableIndex":-1,"rowIndex":33,"cellIndex":10,"fontSize":12,"issueTypeId":"SmallFontSizeIssue:XLSX","dismiss":false,"pageNumbers":[1],"coordinatesList":[[10.0,10.0,2.0,2.0]]},{"pageNumber":0,"geomIndex":2922,"lastGeomIndex":2937,"textElement":"e-tron 55 quattro","identifiers":{"ELEMENT_INDICES":"1"},"tableIndex":-1,"rowIndex":34,"cellIndex":1,"fontSize":12,"issueTypeId":"SmallFontSizeIssue:XLSX","dismiss":false,"pageNumbers":[1],"coordinatesList":[[10.0,10.0,2.0,2.0]]},{"pageNumber":0,"geomIndex":2937,"lastGeomIndex":2982,"textElement":"_xlfn.XLOOKUP($B35,Sheet2!$B:$B,Sheet2!$C:$C)","identifiers":{"ELEMENT_INDICES":"1"},"tableIndex":-1,"rowIndex":34,"cellIndex":2,"fontSize":12,"issueTypeId":"SmallFontSizeIssue:XLSX","dismiss":false,"pageNumbers":[1],"coordinatesList":[[10.0,10.0,2.0,2.0]]},{"pageNumber":0,"geomIndex":2982,"lastGeomIndex":2986,"textElement":"2565","identifiers":{"ELEMENT_INDICES":"1"},"tableIndex":-1,"rowIndex":34,"cellIndex":3,"fontSize":12,"issueTypeId":"SmallFontSizeIssue:XLSX","dismiss":false,"pageNumbers":[1],"coordinatesList":[[10.0,10.0,2.0,2.0]]},{"pageNumber":0,"geomIndex":2992,"lastGeomIndex":2995,"textElement":"5.7","identifiers":{"ELEMENT_INDICES":"1"},"tableIndex":-1,"rowIndex":34,"cellIndex":6,"fontSize":12,"issueTypeId":"SmallFontSizeIssue:XLSX","dismiss":false,"pageNumbers":[1],"coordinatesList":[[10.0,10.0,2.0,2.0]]},{"pageNumber":0,"geomIndex":2995,"lastGeomIndex":2998,"textElement":"237","identifiers":{"ELEMENT_INDICES":"1"},"tableIndex":-1,"rowIndex":34,"cellIndex":7,"fontSize":12,"issueTypeId":"SmallFontSizeIssue:XLSX","dismiss":false,"pageNumbers":[1],"coordinatesList":[[10.0,10.0,2.0,2.0]]},{"pageNumber":0,"geomIndex":2998,"lastGeomIndex":3003,"textElement":"79445","identifiers":{"ELEMENT_INDICES":"1"},"tableIndex":-1,"rowIndex":34,"cellIndex":8,"fontSize":12,"issueTypeId":"SmallFontSizeIssue:XLSX","dismiss":false,"pageNumbers":[1],"coordinatesList":[[10.0,10.0,2.0,2.0]]},{"pageNumber":0,"geomIndex":3003,"lastGeomIndex":3010,"textElement":"Germany","identifiers":{"ELEMENT_INDICES":"1"},"tableIndex":-1,"rowIndex":34,"cellIndex":9,"fontSize":12,"issueTypeId":"SmallFontSizeIssue:XLSX","dismiss":false,"pageNumbers":[1],"coordinatesList":[[10.0,10.0,2.0,2.0]]},{"pageNumber":0,"geomIndex":3010,"lastGeomIndex":3016,"textElement":"Europe","identifiers":{"ELEMENT_INDICES":"1"},"tableIndex":-1,"rowIndex":34,"cellIndex":10,"fontSize":12,"issueTypeId":"SmallFontSizeIssue:XLSX","dismiss":false,"pageNumbers":[1],"coordinatesList":[[10.0,10.0,2.0,2.0]]},{"pageNumber":0,"geomIndex":3020,"lastGeomIndex":3028,"textElement":"e-tron GT","identifiers":{"ELEMENT_INDICES":"1"},"tableIndex":-1,"rowIndex":35,"cellIndex":1,"fontSize":12,"issueTypeId":"SmallFontSizeIssue:XLSX","dismiss":false,"pageNumbers":[1],"coordinatesList":[[10.0,10.0,2.0,2.0]]},{"pageNumber":0,"geomIndex":3028,"lastGeomIndex":3073,"textElement":"_xlfn.XLOOKUP($B36,Sheet2!$B:$B,Sheet2!$C:$C)","identifiers":{"ELEMENT_INDICES":"1"},"tableIndex":-1,"rowIndex":35,"cellIndex":2,"fontSize":12,"issueTypeId":"SmallFontSizeIssue:XLSX","dismiss":false,"pageNumbers":[1],"coordinatesList":[[10.0,10.0,2.0,2.0]]},{"pageNumber":0,"geomIndex":3073,"lastGeomIndex":3077,"textElement":"2276","identifiers":{"ELEMENT_INDICES":"1"},"tableIndex":-1,"rowIndex":35,"cellIndex":3,"fontSize":12,"issueTypeId":"SmallFontSizeIssue:XLSX","dismiss":false,"pageNumbers":[1],"coordinatesList":[[10.0,10.0,2.0,2.0]]},{"pageNumber":0,"geomIndex":3077,"lastGeomIndex":3080,"textElement":"240","identifiers":{"ELEMENT_INDICES":"1"},"tableIndex":-1,"rowIndex":35,"cellIndex":4,"fontSize":12,"issueTypeId":"SmallFontSizeIssue:XLSX","dismiss":false,"pageNumbers":[1],"coordinatesList":[[10.0,10.0,2.0,2.0]]},{"pageNumber":0,"geomIndex":3083,"lastGeomIndex":3086,"textElement":"3.5","identifiers":{"ELEMENT_INDICES":"1"},"tableIndex":-1,"rowIndex":35,"cellIndex":6,"fontSize":12,"issueTypeId":"SmallFontSizeIssue:XLSX","dismiss":false,"pageNumbers":[1],"coordinatesList":[[10.0,10.0,2.0,2.0]]},{"pageNumber":0,"geomIndex":3089,"lastGeomIndex":3095,"textElement":"125000","identifiers":{"ELEMENT_INDICES":"1"},"tableIndex":-1,"rowIndex":35,"cellIndex":8,"fontSize":12,"issueTypeId":"SmallFontSizeIssue:XLSX","dismiss":false,"pageNumbers":[1],"coordinatesList":[[10.0,10.0,2.0,2.0]]},{"pageNumber":0,"geomIndex":3095,"lastGeomIndex":3102,"textElement":"Germany","identifiers":{"ELEMENT_INDICES":"1"},"tableIndex":-1,"rowIndex":35,"cellIndex":9,"fontSize":12,"issueTypeId":"SmallFontSizeIssue:XLSX","dismiss":false,"pageNumbers":[1],"coordinatesList":[[10.0,10.0,2.0,2.0]]},{"pageNumber":0,"geomIndex":3102,"lastGeomIndex":3108,"textElement":"Europe","identifiers":{"ELEMENT_INDICES":"1"},"tableIndex":-1,"rowIndex":35,"cellIndex":10,"fontSize":12,"issueTypeId":"SmallFontSizeIssue:XLSX","dismiss":false,"pageNumbers":[1],"coordinatesList":[[10.0,10.0,2.0,2.0]]},{"pageNumber":0,"geomIndex":3112,"lastGeomIndex":3128,"textElement":"e-tron S 55 quattro","identifiers":{"ELEMENT_INDICES":"1"},"tableIndex":-1,"rowIndex":36,"cellIndex":1,"fontSize":12,"issueTypeId":"SmallFontSizeIssue:XLSX","dismiss":false,"pageNumbers":[1],"coordinatesList":[[10.0,10.0,2.0,2.0]]},{"pageNumber":0,"geomIndex":3128,"lastGeomIndex":3173,"textElement":"_xlfn.XLOOKUP($B37,Sheet2!$B:$B,Sheet2!$C:$C)","identifiers":{"ELEMENT_INDICES":"1"},"tableIndex":-1,"rowIndex":36,"cellIndex":2,"fontSize":12,"issueTypeId":"SmallFontSizeIssue:XLSX","dismiss":false,"pageNumbers":[1],"coordinatesList":[[10.0,10.0,2.0,2.0]]},{"pageNumber":0,"geomIndex":3173,"lastGeomIndex":3177,"textElement":"2620","identifiers":{"ELEMENT_INDICES":"1"},"tableIndex":-1,"rowIndex":36,"cellIndex":3,"fontSize":12,"issueTypeId":"SmallFontSizeIssue:XLSX","dismiss":false,"pageNumbers":[1],"coordinatesList":[[10.0,10.0,2.0,2.0]]},{"pageNumber":0,"geomIndex":3177,"lastGeomIndex":3180,"textElement":"210","identifiers":{"ELEMENT_INDICES":"1"},"tableIndex":-1,"rowIndex":36,"cellIndex":4,"fontSize":12,"issueTypeId":"SmallFontSizeIssue:XLSX","dismiss":false,"pageNumbers":[1],"coordinatesList":[[10.0,10.0,2.0,2.0]]},{"pageNumber":0,"geomIndex":3183,"lastGeomIndex":3186,"textElement":"4.5","identifiers":{"ELEMENT_INDICES":"1"},"tableIndex":-1,"rowIndex":36,"cellIndex":6,"fontSize":12,"issueTypeId":"SmallFontSizeIssue:XLSX","dismiss":false,"pageNumbers":[1],"coordinatesList":[[10.0,10.0,2.0,2.0]]},{"pageNumber":0,"geomIndex":3189,"lastGeomIndex":3194,"textElement":"93800","identifiers":{"ELEMENT_INDICES":"1"},"tableIndex":-1,"rowIndex":36,"cellIndex":8,"fontSize":12,"issueTypeId":"SmallFontSizeIssue:XLSX","dismiss":false,"pageNumbers":[1],"coordinatesList":[[10.0,10.0,2.0,2.0]]},{"pageNumber":0,"geomIndex":3194,"lastGeomIndex":3201,"textElement":"Germany","identifiers":{"ELEMENT_INDICES":"1"},"tableIndex":-1,"rowIndex":36,"cellIndex":9,"fontSize":12,"issueTypeId":"SmallFontSizeIssue:XLSX","dismiss":false,"pageNumbers":[1],"coordinatesList":[[10.0,10.0,2.0,2.0]]},{"pageNumber":0,"geomIndex":3201,"lastGeomIndex":3207,"textElement":"Europe","identifiers":{"ELEMENT_INDICES":"1"},"tableIndex":-1,"rowIndex":36,"cellIndex":10,"fontSize":12,"issueTypeId":"SmallFontSizeIssue:XLSX","dismiss":false,"pageNumbers":[1],"coordinatesList":[[10.0,10.0,2.0,2.0]]},{"pageNumber":0,"geomIndex":3211,"lastGeomIndex":3236,"textElement":"e-tron S Sportback 55 quattro","identifiers":{"ELEMENT_INDICES":"1"},"tableIndex":-1,"rowIndex":37,"cellIndex":1,"fontSize":12,"issueTypeId":"SmallFontSizeIssue:XLSX","dismiss":false,"pageNumbers":[1],"coordinatesList":[[10.0,10.0,2.0,2.0]]},{"pageNumber":0,"geomIndex":3236,"lastGeomIndex":3281,"textElement":"_xlfn.XLOOKUP($B38,Sheet2!$B:$B,Sheet2!$C:$C)","identifiers":{"ELEMENT_INDICES":"1"},"tableIndex":-1,"rowIndex":37,"cellIndex":2,"fontSize":12,"issueTypeId":"SmallFontSizeIssue:XLSX","dismiss":false,"pageNumbers":[1],"coordinatesList":[[10.0,10.0,2.0,2.0]]},{"pageNumber":0,"geomIndex":3281,"lastGeomIndex":3285,"textElement":"2635","identifiers":{"ELEMENT_INDICES":"1"},"tableIndex":-1,"rowIndex":37,"cellIndex":3,"fontSize":12,"issueTypeId":"SmallFontSizeIssue:XLSX","dismiss":false,"pageNumbers":[1],"coordinatesList":[[10.0,10.0,2.0,2.0]]},{"pageNumber":0,"geomIndex":3285,"lastGeomIndex":3288,"textElement":"210","identifiers":{"ELEMENT_INDICES":"1"},"tableIndex":-1,"rowIndex":37,"cellIndex":4,"fontSize":12,"issueTypeId":"SmallFontSizeIssue:XLSX","dismiss":false,"pageNumbers":[1],"coordinatesList":[[10.0,10.0,2.0,2.0]]},{"pageNumber":0,"geomIndex":3291,"lastGeomIndex":3294,"textElement":"4.5","identifiers":{"ELEMENT_INDICES":"1"},"tableIndex":-1,"rowIndex":37,"cellIndex":6,"fontSize":12,"issueTypeId":"SmallFontSizeIssue:XLSX","dismiss":false,"pageNumbers":[1],"coordinatesList":[[10.0,10.0,2.0,2.0]]},{"pageNumber":0,"geomIndex":3294,"lastGeomIndex":3297,"textElement":"258","identifiers":{"ELEMENT_INDICES":"1"},"tableIndex":-1,"rowIndex":37,"cellIndex":7,"fontSize":12,"issueTypeId":"SmallFontSizeIssue:XLSX","dismiss":false,"pageNumbers":[1],"coordinatesList":[[10.0,10.0,2.0,2.0]]},{"pageNumber":0,"geomIndex":3297,"lastGeomIndex":3302,"textElement":"96050","identifiers":{"ELEMENT_INDICES":"1"},"tableIndex":-1,"rowIndex":37,"cellIndex":8,"fontSize":12,"issueTypeId":"SmallFontSizeIssue:XLSX","dismiss":false,"pageNumbers":[1],"coordinatesList":[[10.0,10.0,2.0,2.0]]},{"pageNumber":0,"geomIndex":3302,"lastGeomIndex":3309,"textElement":"Germany","identifiers":{"ELEMENT_INDICES":"1"},"tableIndex":-1,"rowIndex":37,"cellIndex":9,"fontSize":12,"issueTypeId":"SmallFontSizeIssue:XLSX","dismiss":false,"pageNumbers":[1],"coordinatesList":[[10.0,10.0,2.0,2.0]]},{"pageNumber":0,"geomIndex":3309,"lastGeomIndex":3315,"textElement":"Europe","identifiers":{"ELEMENT_INDICES":"1"},"tableIndex":-1,"rowIndex":37,"cellIndex":10,"fontSize":12,"issueTypeId":"SmallFontSizeIssue:XLSX","dismiss":false,"pageNumbers":[1],"coordinatesList":[[10.0,10.0,2.0,2.0]]},{"pageNumber":0,"geomIndex":3319,"lastGeomIndex":3343,"textElement":"e-tron Sportback 50 quattro","identifiers":{"ELEMENT_INDICES":"1"},"tableIndex":-1,"rowIndex":38,"cellIndex":1,"fontSize":12,"issueTypeId":"SmallFontSizeIssue:XLSX","dismiss":false,"pageNumbers":[1],"coordinatesList":[[10.0,10.0,2.0,2.0]]},{"pageNumber":0,"geomIndex":3343,"lastGeomIndex":3388,"textElement":"_xlfn.XLOOKUP($B39,Sheet2!$B:$B,Sheet2!$C:$C)","identifiers":{"ELEMENT_INDICES":"1"},"tableIndex":-1,"rowIndex":38,"cellIndex":2,"fontSize":12,"issueTypeId":"SmallFontSizeIssue:XLSX","dismiss":false,"pageNumbers":[1],"coordinatesList":[[10.0,10.0,2.0,2.0]]},{"pageNumber":0,"geomIndex":3388,"lastGeomIndex":3392,"textElement":"2450","identifiers":{"ELEMENT_INDICES":"1"},"tableIndex":-1,"rowIndex":38,"cellIndex":3,"fontSize":12,"issueTypeId":"SmallFontSizeIssue:XLSX","dismiss":false,"pageNumbers":[1],"coordinatesList":[[10.0,10.0,2.0,2.0]]},{"pageNumber":0,"geomIndex":3392,"lastGeomIndex":3395,"textElement":"190","identifiers":{"ELEMENT_INDICES":"1"},"tableIndex":-1,"rowIndex":38,"cellIndex":4,"fontSize":12,"issueTypeId":"SmallFontSizeIssue:XLSX","dismiss":false,"pageNumbers":[1],"coordinatesList":[[10.0,10.0,2.0,2.0]]},{"pageNumber":0,"geomIndex":3398,"lastGeomIndex":3401,"textElement":"6.8","identifiers":{"ELEMENT_INDICES":"1"},"tableIndex":-1,"rowIndex":38,"cellIndex":6,"fontSize":12,"issueTypeId":"SmallFontSizeIssue:XLSX","dismiss":false,"pageNumbers":[1],"coordinatesList":[[10.0,10.0,2.0,2.0]]},{"pageNumber":0,"geomIndex":3404,"lastGeomIndex":3409,"textElement":"69551","identifiers":{"ELEMENT_INDICES":"1"},"tableIndex":-1,"rowIndex":38,"cellIndex":8,"fontSize":12,"issueTypeId":"SmallFontSizeIssue:XLSX","dismiss":false,"pageNumbers":[1],"coordinatesList":[[10.0,10.0,2.0,2.0]]},{"pageNumber":0,"geomIndex":3409,"lastGeomIndex":3416,"textElement":"Germany","identifiers":{"ELEMENT_INDICES":"1"},"tableIndex":-1,"rowIndex":38,"cellIndex":9,"fontSize":12,"issueTypeId":"SmallFontSizeIssue:XLSX","dismiss":false,"pageNumbers":[1],"coordinatesList":[[10.0,10.0,2.0,2.0]]},{"pageNumber":0,"geomIndex":3416,"lastGeomIndex":3422,"textElement":"Europe","identifiers":{"ELEMENT_INDICES":"1"},"tableIndex":-1,"rowIndex":38,"cellIndex":10,"fontSize":12,"issueTypeId":"SmallFontSizeIssue:XLSX","dismiss":false,"pageNumbers":[1],"coordinatesList":[[10.0,10.0,2.0,2.0]]},{"pageNumber":0,"geomIndex":3426,"lastGeomIndex":3450,"textElement":"e-tron Sportback 55 quattro","identifiers":{"ELEMENT_INDICES":"1"},"tableIndex":-1,"rowIndex":39,"cellIndex":1,"fontSize":12,"issueTypeId":"SmallFontSizeIssue:XLSX","dismiss":false,"pageNumbers":[1],"coordinatesList":[[10.0,10.0,2.0,2.0]]},{"pageNumber":0,"geomIndex":3450,"lastGeomIndex":3495,"textElement":"_xlfn.XLOOKUP($B40,Sheet2!$B:$B,Sheet2!$C:$C)","identifiers":{"ELEMENT_INDICES":"1"},"tableIndex":-1,"rowIndex":39,"cellIndex":2,"fontSize":12,"issueTypeId":"SmallFontSizeIssue:XLSX","dismiss":false,"pageNumbers":[1],"coordinatesList":[[10.0,10.0,2.0,2.0]]},{"pageNumber":0,"geomIndex":3495,"lastGeomIndex":3499,"textElement":"2565","identifiers":{"ELEMENT_INDICES":"1"},"tableIndex":-1,"rowIndex":39,"cellIndex":3,"fontSize":12,"issueTypeId":"SmallFontSizeIssue:XLSX","dismiss":false,"pageNumbers":[1],"coordinatesList":[[10.0,10.0,2.0,2.0]]},{"pageNumber":0,"geomIndex":3502,"lastGeomIndex":3505,"textElement":"380","identifiers":{"ELEMENT_INDICES":"1"},"tableIndex":-1,"rowIndex":39,"cellIndex":5,"fontSize":12,"issueTypeId":"SmallFontSizeIssue:XLSX","dismiss":false,"pageNumbers":[1],"coordinatesList":[[10.0,10.0,2.0,2.0]]},{"pageNumber":0,"geomIndex":3505,"lastGeomIndex":3508,"textElement":"5.7","identifiers":{"ELEMENT_INDICES":"1"},"tableIndex":-1,"rowIndex":39,"cellIndex":6,"fontSize":12,"issueTypeId":"SmallFontSizeIssue:XLSX","dismiss":false,"pageNumbers":[1],"coordinatesList":[[10.0,10.0,2.0,2.0]]},{"pageNumber":0,"geomIndex":3508,"lastGeomIndex":3511,"textElement":"228","identifiers":{"ELEMENT_INDICES":"1"},"tableIndex":-1,"rowIndex":39,"cellIndex":7,"fontSize":12,"issueTypeId":"SmallFontSizeIssue:XLSX","dismiss":false,"pageNumbers":[1],"coordinatesList":[[10.0,10.0,2.0,2.0]]},{"pageNumber":0,"geomIndex":3511,"lastGeomIndex":3516,"textElement":"81639","identifiers":{"ELEMENT_INDICES":"1"},"tableIndex":-1,"rowIndex":39,"cellIndex":8,"fontSize":12,"issueTypeId":"SmallFontSizeIssue:XLSX","dismiss":false,"pageNumbers":[1],"coordinatesList":[[10.0,10.0,2.0,2.0]]},{"pageNumber":0,"geomIndex":3516,"lastGeomIndex":3523,"textElement":"Germany","identifiers":{"ELEMENT_INDICES":"1"},"tableIndex":-1,"rowIndex":39,"cellIndex":9,"fontSize":12,"issueTypeId":"SmallFontSizeIssue:XLSX","dismiss":false,"pageNumbers":[1],"coordinatesList":[[10.0,10.0,2.0,2.0]]},{"pageNumber":0,"geomIndex":3523,"lastGeomIndex":3529,"textElement":"Europe","identifiers":{"ELEMENT_INDICES":"1"},"tableIndex":-1,"rowIndex":39,"cellIndex":10,"fontSize":12,"issueTypeId":"SmallFontSizeIssue:XLSX","dismiss":false,"pageNumbers":[1],"coordinatesList":[[10.0,10.0,2.0,2.0]]},{"pageNumber":0,"geomIndex":3529,"lastGeomIndex":3539,"textElement":"Volkswagen","identifiers":{"ELEMENT_INDICES":"1"},"tableIndex":-1,"rowIndex":40,"cellIndex":0,"fontSize":12,"issueTypeId":"SmallFontSizeIssue:XLSX","dismiss":false,"pageNumbers":[1],"coordinatesList":[[10.0,10.0,2.0,2.0]]},{"pageNumber":0,"geomIndex":3539,"lastGeomIndex":3544,"textElement":"e-Up!","identifiers":{"ELEMENT_INDICES":"1"},"tableIndex":-1,"rowIndex":40,"cellIndex":1,"fontSize":12,"issueTypeId":"SmallFontSizeIssue:XLSX","dismiss":false,"pageNumbers":[1],"coordinatesList":[[10.0,10.0,2.0,2.0]]},{"pageNumber":0,"geomIndex":3544,"lastGeomIndex":3589,"textElement":"_xlfn.XLOOKUP($B41,Sheet2!$B:$B,Sheet2!$C:$C)","identifiers":{"ELEMENT_INDICES":"1"},"tableIndex":-1,"rowIndex":40,"cellIndex":2,"fontSize":12,"issueTypeId":"SmallFontSizeIssue:XLSX","dismiss":false,"pageNumbers":[1],"coordinatesList":[[10.0,10.0,2.0,2.0]]},{"pageNumber":0,"geomIndex":3589,"lastGeomIndex":3593,"textElement":"1229","identifiers":{"ELEMENT_INDICES":"1"},"tableIndex":-1,"rowIndex":40,"cellIndex":3,"fontSize":12,"issueTypeId":"SmallFontSizeIssue:XLSX","dismiss":false,"pageNumbers":[1],"coordinatesList":[[10.0,10.0,2.0,2.0]]},{"pageNumber":0,"geomIndex":3599,"lastGeomIndex":3603,"textElement":"11.9","identifiers":{"ELEMENT_INDICES":"1"},"tableIndex":-1,"rowIndex":40,"cellIndex":6,"fontSize":12,"issueTypeId":"SmallFontSizeIssue:XLSX","dismiss":false,"pageNumbers":[1],"coordinatesList":[[10.0,10.0,2.0,2.0]]},{"pageNumber":0,"geomIndex":3603,"lastGeomIndex":3606,"textElement":"166","identifiers":{"ELEMENT_INDICES":"1"},"tableIndex":-1,"rowIndex":40,"cellIndex":7,"fontSize":12,"issueTypeId":"SmallFontSizeIssue:XLSX","dismiss":false,"pageNumbers":[1],"coordinatesList":[[10.0,10.0,2.0,2.0]]},{"pageNumber":0,"geomIndex":3606,"lastGeomIndex":3611,"textElement":"21421","identifiers":{"ELEMENT_INDICES":"1"},"tableIndex":-1,"rowIndex":40,"cellIndex":8,"fontSize":12,"issueTypeId":"SmallFontSizeIssue:XLSX","dismiss":false,"pageNumbers":[1],"coordinatesList":[[10.0,10.0,2.0,2.0]]},{"pageNumber":0,"geomIndex":3611,"lastGeomIndex":3618,"textElement":"Germany","identifiers":{"ELEMENT_INDICES":"1"},"tableIndex":-1,"rowIndex":40,"cellIndex":9,"fontSize":12,"issueTypeId":"SmallFontSizeIssue:XLSX","dismiss":false,"pageNumbers":[1],"coordinatesList":[[10.0,10.0,2.0,2.0]]},{"pageNumber":0,"geomIndex":3618,"lastGeomIndex":3624,"textElement":"Europe","identifiers":{"ELEMENT_INDICES":"1"},"tableIndex":-1,"rowIndex":40,"cellIndex":10,"fontSize":12,"issueTypeId":"SmallFontSizeIssue:XLSX","dismiss":false,"pageNumbers":[1],"coordinatesList":[[10.0,10.0,2.0,2.0]]},{"pageNumber":0,"geomIndex":3624,"lastGeomIndex":3629,"textElement":"CUPRA","identifiers":{"ELEMENT_INDICES":"1"},"tableIndex":-1,"rowIndex":41,"cellIndex":0,"fontSize":12,"issueTypeId":"SmallFontSizeIssue:XLSX","dismiss":false,"pageNumbers":[1],"coordinatesList":[[10.0,10.0,2.0,2.0]]},{"pageNumber":0,"geomIndex":3629,"lastGeomIndex":3636,"textElement":"el-Born","identifiers":{"ELEMENT_INDICES":"1"},"tableIndex":-1,"rowIndex":41,"cellIndex":1,"fontSize":12,"issueTypeId":"SmallFontSizeIssue:XLSX","dismiss":false,"pageNumbers":[1],"coordinatesList":[[10.0,10.0,2.0,2.0]]},{"pageNumber":0,"geomIndex":3636,"lastGeomIndex":3681,"textElement":"_xlfn.XLOOKUP($B42,Sheet2!$B:$B,Sheet2!$C:$C)","identifiers":{"ELEMENT_INDICES":"1"},"tableIndex":-1,"rowIndex":41,"cellIndex":2,"fontSize":12,"issueTypeId":"SmallFontSizeIssue:XLSX","dismiss":false,"pageNumbers":[1],"coordinatesList":[[10.0,10.0,2.0,2.0]]},{"pageNumber":0,"geomIndex":3681,"lastGeomIndex":3685,"textElement":"1700","identifiers":{"ELEMENT_INDICES":"1"},"tableIndex":-1,"rowIndex":41,"cellIndex":3,"fontSize":12,"issueTypeId":"SmallFontSizeIssue:XLSX","dismiss":false,"pageNumbers":[1],"coordinatesList":[[10.0,10.0,2.0,2.0]]},{"pageNumber":0,"geomIndex":3685,"lastGeomIndex":3688,"textElement":"160","identifiers":{"ELEMENT_INDICES":"1"},"tableIndex":-1,"rowIndex":41,"cellIndex":4,"fontSize":12,"issueTypeId":"SmallFontSizeIssue:XLSX","dismiss":false,"pageNumbers":[1],"coordinatesList":[[10.0,10.0,2.0,2.0]]},{"pageNumber":0,"geomIndex":3688,"lastGeomIndex":3691,"textElement":"425","identifiers":{"ELEMENT_INDICES":"1"},"tableIndex":-1,"rowIndex":41,"cellIndex":5,"fontSize":12,"issueTypeId":"SmallFontSizeIssue:XLSX","dismiss":false,"pageNumbers":[1],"coordinatesList":[[10.0,10.0,2.0,2.0]]},{"pageNumber":0,"geomIndex":3713,"lastGeomIndex":3718,"textElement":"Skoda","identifiers":{"ELEMENT_INDICES":"1"},"tableIndex":-1,"rowIndex":42,"cellIndex":0,"fontSize":12,"issueTypeId":"SmallFontSizeIssue:XLSX","dismiss":false,"pageNumbers":[1],"coordinatesList":[[10.0,10.0,2.0,2.0]]},{"pageNumber":0,"geomIndex":3718,"lastGeomIndex":3727,"textElement":"Enyaq iV 50","identifiers":{"ELEMENT_INDICES":"1"},"tableIndex":-1,"rowIndex":42,"cellIndex":1,"fontSize":12,"issueTypeId":"SmallFontSizeIssue:XLSX","dismiss":false,"pageNumbers":[1],"coordinatesList":[[10.0,10.0,2.0,2.0]]},{"pageNumber":0,"geomIndex":3727,"lastGeomIndex":3772,"textElement":"_xlfn.XLOOKUP($B43,Sheet2!$B:$B,Sheet2!$C:$C)","identifiers":{"ELEMENT_INDICES":"1"},"tableIndex":-1,"rowIndex":42,"cellIndex":2,"fontSize":12,"issueTypeId":"SmallFontSizeIssue:XLSX","dismiss":false,"pageNumbers":[1],"coordinatesList":[[10.0,10.0,2.0,2.0]]},{"pageNumber":0,"geomIndex":3772,"lastGeomIndex":3776,"textElement":"1855","identifiers":{"ELEMENT_INDICES":"1"},"tableIndex":-1,"rowIndex":42,"cellIndex":3,"fontSize":12,"issueTypeId":"SmallFontSizeIssue:XLSX","dismiss":false,"pageNumbers":[1],"coordinatesList":[[10.0,10.0,2.0,2.0]]},{"pageNumber":0,"geomIndex":3776,"lastGeomIndex":3779,"textElement":"160","identifiers":{"ELEMENT_INDICES":"1"},"tableIndex":-1,"rowIndex":42,"cellIndex":4,"fontSize":12,"issueTypeId":"SmallFontSizeIssue:XLSX","dismiss":false,"pageNumbers":[1],"coordinatesList":[[10.0,10.0,2.0,2.0]]},{"pageNumber":0,"geomIndex":3779,"lastGeomIndex":3782,"textElement":"290","identifiers":{"ELEMENT_INDICES":"1"},"tableIndex":-1,"rowIndex":42,"cellIndex":5,"fontSize":12,"issueTypeId":"SmallFontSizeIssue:XLSX","dismiss":false,"pageNumbers":[1],"coordinatesList":[[10.0,10.0,2.0,2.0]]},{"pageNumber":0,"geomIndex":3805,"lastGeomIndex":3810,"textElement":"Skoda","identifiers":{"ELEMENT_INDICES":"1"},"tableIndex":-1,"rowIndex":43,"cellIndex":0,"fontSize":12,"issueTypeId":"SmallFontSizeIssue:XLSX","dismiss":false,"pageNumbers":[1],"coordinatesList":[[10.0,10.0,2.0,2.0]]},{"pageNumber":0,"geomIndex":3810,"lastGeomIndex":3819,"textElement":"Enyaq iV 60","identifiers":{"ELEMENT_INDICES":"1"},"tableIndex":-1,"rowIndex":43,"cellIndex":1,"fontSize":12,"issueTypeId":"SmallFontSizeIssue:XLSX","dismiss":false,"pageNumbers":[1],"coordinatesList":[[10.0,10.0,2.0,2.0]]},{"pageNumber":0,"geomIndex":3819,"lastGeomIndex":3864,"textElement":"_xlfn.XLOOKUP($B44,Sheet2!$B:$B,Sheet2!$C:$C)","identifiers":{"ELEMENT_INDICES":"1"},"tableIndex":-1,"rowIndex":43,"cellIndex":2,"fontSize":12,"issueTypeId":"SmallFontSizeIssue:XLSX","dismiss":false,"pageNumbers":[1],"coordinatesList":[[10.0,10.0,2.0,2.0]]},{"pageNumber":0,"geomIndex":3864,"lastGeomIndex":3868,"textElement":"1865","identifiers":{"ELEMENT_INDICES":"1"},"tableIndex":-1,"rowIndex":43,"cellIndex":3,"fontSize":12,"issueTypeId":"SmallFontSizeIssue:XLSX","dismiss":false,"pageNumbers":[1],"coordinatesList":[[10.0,10.0,2.0,2.0]]},{"pageNumber":0,"geomIndex":3868,"lastGeomIndex":3871,"textElement":"160","identifiers":{"ELEMENT_INDICES":"1"},"tableIndex":-1,"rowIndex":43,"cellIndex":4,"fontSize":12,"issueTypeId":"SmallFontSizeIssue:XLSX","dismiss":false,"pageNumbers":[1],"coordinatesList":[[10.0,10.0,2.0,2.0]]},{"pageNumber":0,"geomIndex":3871,"lastGeomIndex":3874,"textElement":"320","identifiers":{"ELEMENT_INDICES":"1"},"tableIndex":-1,"rowIndex":43,"cellIndex":5,"fontSize":12,"issueTypeId":"SmallFontSizeIssue:XLSX","dismiss":false,"pageNumbers":[1],"coordinatesList":[[10.0,10.0,2.0,2.0]]},{"pageNumber":0,"geomIndex":3896,"lastGeomIndex":3901,"textElement":"Skoda","identifiers":{"ELEMENT_INDICES":"1"},"tableIndex":-1,"rowIndex":44,"cellIndex":0,"fontSize":12,"issueTypeId":"SmallFontSizeIssue:XLSX","dismiss":false,"pageNumbers":[1],"coordinatesList":[[10.0,10.0,2.0,2.0]]},{"pageNumber":0,"geomIndex":3901,"lastGeomIndex":3910,"textElement":"Enyaq iV 80","identifiers":{"ELEMENT_INDICES":"1"},"tableIndex":-1,"rowIndex":44,"cellIndex":1,"fontSize":12,"issueTypeId":"SmallFontSizeIssue:XLSX","dismiss":false,"pageNumbers":[1],"coordinatesList":[[10.0,10.0,2.0,2.0]]},{"pageNumber":0,"geomIndex":3910,"lastGeomIndex":3955,"textElement":"_xlfn.XLOOKUP($B45,Sheet2!$B:$B,Sheet2!$C:$C)","identifiers":{"ELEMENT_INDICES":"1"},"tableIndex":-1,"rowIndex":44,"cellIndex":2,"fontSize":12,"issueTypeId":"SmallFontSizeIssue:XLSX","dismiss":false,"pageNumbers":[1],"coordinatesList":[[10.0,10.0,2.0,2.0]]},{"pageNumber":0,"geomIndex":3955,"lastGeomIndex":3959,"textElement":"2077","identifiers":{"ELEMENT_INDICES":"1"},"tableIndex":-1,"rowIndex":44,"cellIndex":3,"fontSize":12,"issueTypeId":"SmallFontSizeIssue:XLSX","dismiss":false,"pageNumbers":[1],"coordinatesList":[[10.0,10.0,2.0,2.0]]},{"pageNumber":0,"geomIndex":3959,"lastGeomIndex":3962,"textElement":"160","identifiers":{"ELEMENT_INDICES":"1"},"tableIndex":-1,"rowIndex":44,"cellIndex":4,"fontSize":12,"issueTypeId":"SmallFontSizeIssue:XLSX","dismiss":false,"pageNumbers":[1],"coordinatesList":[[10.0,10.0,2.0,2.0]]},{"pageNumber":0,"geomIndex":3989,"lastGeomIndex":3994,"textElement":"Skoda","identifiers":{"ELEMENT_INDICES":"1"},"tableIndex":-1,"rowIndex":45,"cellIndex":0,"fontSize":12,"issueTypeId":"SmallFontSizeIssue:XLSX","dismiss":false,"pageNumbers":[1],"coordinatesList":[[10.0,10.0,2.0,2.0]]},{"pageNumber":0,"geomIndex":3994,"lastGeomIndex":4004,"textElement":"Enyaq iV 80X","identifiers":{"ELEMENT_INDICES":"1"},"tableIndex":-1,"rowIndex":45,"cellIndex":1,"fontSize":12,"issueTypeId":"SmallFontSizeIssue:XLSX","dismiss":false,"pageNumbers":[1],"coordinatesList":[[10.0,10.0,2.0,2.0]]},{"pageNumber":0,"geomIndex":4004,"lastGeomIndex":4049,"textElement":"_xlfn.XLOOKUP($B46,Sheet2!$B:$B,Sheet2!$C:$C)","identifiers":{"ELEMENT_INDICES":"1"},"tableIndex":-1,"rowIndex":45,"cellIndex":2,"fontSize":12,"issueTypeId":"SmallFontSizeIssue:XLSX","dismiss":false,"pageNumbers":[1],"coordinatesList":[[10.0,10.0,2.0,2.0]]},{"pageNumber":0,"geomIndex":4049,"lastGeomIndex":4053,"textElement":"2221","identifiers":{"ELEMENT_INDICES":"1"},"tableIndex":-1,"rowIndex":45,"cellIndex":3,"fontSize":12,"issueTypeId":"SmallFontSizeIssue:XLSX","dismiss":false,"pageNumbers":[1],"coordinatesList":[[10.0,10.0,2.0,2.0]]},{"pageNumber":0,"geomIndex":4053,"lastGeomIndex":4056,"textElement":"160","identifiers":{"ELEMENT_INDICES":"1"},"tableIndex":-1,"rowIndex":45,"cellIndex":4,"fontSize":12,"issueTypeId":"SmallFontSizeIssue:XLSX","dismiss":false,"pageNumbers":[1],"coordinatesList":[[10.0,10.0,2.0,2.0]]},{"pageNumber":0,"geomIndex":4081,"lastGeomIndex":4086,"textElement":"Skoda","identifiers":{"ELEMENT_INDICES":"1"},"tableIndex":-1,"rowIndex":46,"cellIndex":0,"fontSize":12,"issueTypeId":"SmallFontSizeIssue:XLSX","dismiss":false,"pageNumbers":[1],"coordinatesList":[[10.0,10.0,2.0,2.0]]},{"pageNumber":0,"geomIndex":4086,"lastGeomIndex":4096,"textElement":"Enyaq iV vRS","identifiers":{"ELEMENT_INDICES":"1"},"tableIndex":-1,"rowIndex":46,"cellIndex":1,"fontSize":12,"issueTypeId":"SmallFontSizeIssue:XLSX","dismiss":false,"pageNumbers":[1],"coordinatesList":[[10.0,10.0,2.0,2.0]]},{"pageNumber":0,"geomIndex":4096,"lastGeomIndex":4141,"textElement":"_xlfn.XLOOKUP($B47,Sheet2!$B:$B,Sheet2!$C:$C)","identifiers":{"ELEMENT_INDICES":"1"},"tableIndex":-1,"rowIndex":46,"cellIndex":2,"fontSize":12,"issueTypeId":"SmallFontSizeIssue:XLSX","dismiss":false,"pageNumbers":[1],"coordinatesList":[[10.0,10.0,2.0,2.0]]},{"pageNumber":0,"geomIndex":4141,"lastGeomIndex":4145,"textElement":"2178","identifiers":{"ELEMENT_INDICES":"1"},"tableIndex":-1,"rowIndex":46,"cellIndex":3,"fontSize":12,"issueTypeId":"SmallFontSizeIssue:XLSX","dismiss":false,"pageNumbers":[1],"coordinatesList":[[10.0,10.0,2.0,2.0]]},{"pageNumber":0,"geomIndex":4151,"lastGeomIndex":4154,"textElement":"6.2","identifiers":{"ELEMENT_INDICES":"1"},"tableIndex":-1,"rowIndex":46,"cellIndex":6,"fontSize":12,"issueTypeId":"SmallFontSizeIssue:XLSX","dismiss":false,"pageNumbers":[1],"coordinatesList":[[10.0,10.0,2.0,2.0]]},{"pageNumber":0,"geomIndex":4157,"lastGeomIndex":4162,"textElement":"47500","identifiers":{"ELEMENT_INDICES":"1"},"tableIndex":-1,"rowIndex":46,"cellIndex":8,"fontSize":12,"issueTypeId":"SmallFontSizeIssue:XLSX","dismiss":false,"pageNumbers":[1],"coordinatesList":[[10.0,10.0,2.0,2.0]]},{"pageNumber":0,"geomIndex":4175,"lastGeomIndex":4180,"textElement":"Smart","identifiers":{"ELEMENT_INDICES":"1"},"tableIndex":-1,"rowIndex":47,"cellIndex":0,"fontSize":12,"issueTypeId":"SmallFontSizeIssue:XLSX","dismiss":false,"pageNumbers":[1],"coordinatesList":[[10.0,10.0,2.0,2.0]]},{"pageNumber":0,"geomIndex":4180,"lastGeomIndex":4189,"textElement":"EQ forfour","identifiers":{"ELEMENT_INDICES":"1"},"tableIndex":-1,"rowIndex":47,"cellIndex":1,"fontSize":12,"issueTypeId":"SmallFontSizeIssue:XLSX","dismiss":false,"pageNumbers":[1],"coordinatesList":[[10.0,10.0,2.0,2.0]]},{"pageNumber":0,"geomIndex":4189,"lastGeomIndex":4234,"textElement":"_xlfn.XLOOKUP($B48,Sheet2!$B:$B,Sheet2!$C:$C)","identifiers":{"ELEMENT_INDICES":"1"},"tableIndex":-1,"rowIndex":47,"cellIndex":2,"fontSize":12,"issueTypeId":"SmallFontSizeIssue:XLSX","dismiss":false,"pageNumbers":[1],"coordinatesList":[[10.0,10.0,2.0,2.0]]},{"pageNumber":0,"geomIndex":4234,"lastGeomIndex":4238,"textElement":"1180","identifiers":{"ELEMENT_INDICES":"1"},"tableIndex":-1,"rowIndex":47,"cellIndex":3,"fontSize":12,"issueTypeId":"SmallFontSizeIssue:XLSX","dismiss":false,"pageNumbers":[1],"coordinatesList":[[10.0,10.0,2.0,2.0]]},{"pageNumber":0,"geomIndex":4238,"lastGeomIndex":4241,"textElement":"130","identifiers":{"ELEMENT_INDICES":"1"},"tableIndex":-1,"rowIndex":47,"cellIndex":4,"fontSize":12,"issueTypeId":"SmallFontSizeIssue:XLSX","dismiss":false,"pageNumbers":[1],"coordinatesList":[[10.0,10.0,2.0,2.0]]},{"pageNumber":0,"geomIndex":4243,"lastGeomIndex":4247,"textElement":"12.7","identifiers":{"ELEMENT_INDICES":"1"},"tableIndex":-1,"rowIndex":47,"cellIndex":6,"fontSize":12,"issueTypeId":"SmallFontSizeIssue:XLSX","dismiss":false,"pageNumbers":[1],"coordinatesList":[[10.0,10.0,2.0,2.0]]},{"pageNumber":0,"geomIndex":4247,"lastGeomIndex":4250,"textElement":"176","identifiers":{"ELEMENT_INDICES":"1"},"tableIndex":-1,"rowIndex":47,"cellIndex":7,"fontSize":12,"issueTypeId":"SmallFontSizeIssue:XLSX","dismiss":false,"pageNumbers":[1],"coordinatesList":[[10.0,10.0,2.0,2.0]]},{"pageNumber":0,"geomIndex":4250,"lastGeomIndex":4255,"textElement":"22030","identifiers":{"ELEMENT_INDICES":"1"},"tableIndex":-1,"rowIndex":47,"cellIndex":8,"fontSize":12,"issueTypeId":"SmallFontSizeIssue:XLSX","dismiss":false,"pageNumbers":[1],"coordinatesList":[[10.0,10.0,2.0,2.0]]},{"pageNumber":0,"geomIndex":4268,"lastGeomIndex":4273,"textElement":"Smart","identifiers":{"ELEMENT_INDICES":"1"},"tableIndex":-1,"rowIndex":48,"cellIndex":0,"fontSize":12,"issueTypeId":"SmallFontSizeIssue:XLSX","dismiss":false,"pageNumbers":[1],"coordinatesList":[[10.0,10.0,2.0,2.0]]},{"pageNumber":0,"geomIndex":4273,"lastGeomIndex":4287,"textElement":"EQ fortwo cabrio","identifiers":{"ELEMENT_INDICES":"1"},"tableIndex":-1,"rowIndex":48,"cellIndex":1,"fontSize":12,"issueTypeId":"SmallFontSizeIssue:XLSX","dismiss":false,"pageNumbers":[1],"coordinatesList":[[10.0,10.0,2.0,2.0]]},{"pageNumber":0,"geomIndex":4287,"lastGeomIndex":4332,"textElement":"_xlfn.XLOOKUP($B49,Sheet2!$B:$B,Sheet2!$C:$C)","identifiers":{"ELEMENT_INDICES":"1"},"tableIndex":-1,"rowIndex":48,"cellIndex":2,"fontSize":12,"issueTypeId":"SmallFontSizeIssue:XLSX","dismiss":false,"pageNumbers":[1],"coordinatesList":[[10.0,10.0,2.0,2.0]]},{"pageNumber":0,"geomIndex":4332,"lastGeomIndex":4336,"textElement":"1110","identifiers":{"ELEMENT_INDICES":"1"},"tableIndex":-1,"rowIndex":48,"cellIndex":3,"fontSize":12,"issueTypeId":"SmallFontSizeIssue:XLSX","dismiss":false,"pageNumbers":[1],"coordinatesList":[[10.0,10.0,2.0,2.0]]},{"pageNumber":0,"geomIndex":4336,"lastGeomIndex":4339,"textElement":"130","identifiers":{"ELEMENT_INDICES":"1"},"tableIndex":-1,"rowIndex":48,"cellIndex":4,"fontSize":12,"issueTypeId":"SmallFontSizeIssue:XLSX","dismiss":false,"pageNumbers":[1],"coordinatesList":[[10.0,10.0,2.0,2.0]]},{"pageNumber":0,"geomIndex":4345,"lastGeomIndex":4348,"textElement":"176","identifiers":{"ELEMENT_INDICES":"1"},"tableIndex":-1,"rowIndex":48,"cellIndex":7,"fontSize":12,"issueTypeId":"SmallFontSizeIssue:XLSX","dismiss":false,"pageNumbers":[1],"coordinatesList":[[10.0,10.0,2.0,2.0]]},{"pageNumber":0,"geomIndex":4348,"lastGeomIndex":4353,"textElement":"24565","identifiers":{"ELEMENT_INDICES":"1"},"tableIndex":-1,"rowIndex":48,"cellIndex":8,"fontSize":12,"issueTypeId":"SmallFontSizeIssue:XLSX","dismiss":false,"pageNumbers":[1],"coordinatesList":[[10.0,10.0,2.0,2.0]]},{"pageNumber":0,"geomIndex":4366,"lastGeomIndex":4371,"textElement":"Smart","identifiers":{"ELEMENT_INDICES":"1"},"tableIndex":-1,"rowIndex":49,"cellIndex":0,"fontSize":12,"issueTypeId":"SmallFontSizeIssue:XLSX","dismiss":false,"pageNumbers":[1],"coordinatesList":[[10.0,10.0,2.0,2.0]]},{"pageNumber":0,"geomIndex":4371,"lastGeomIndex":4384,"textElement":"EQ fortwo coupe","identifiers":{"ELEMENT_INDICES":"1"},"tableIndex":-1,"rowIndex":49,"cellIndex":1,"fontSize":12,"issueTypeId":"SmallFontSizeIssue:XLSX","dismiss":false,"pageNumbers":[1],"coordinatesList":[[10.0,10.0,2.0,2.0]]},{"pageNumber":0,"geomIndex":4384,"lastGeomIndex":4429,"textElement":"_xlfn.XLOOKUP($B50,Sheet2!$B:$B,Sheet2!$C:$C)","identifiers":{"ELEMENT_INDICES":"1"},"tableIndex":-1,"rowIndex":49,"cellIndex":2,"fontSize":12,"issueTypeId":"SmallFontSizeIssue:XLSX","dismiss":false,"pageNumbers":[1],"coordinatesList":[[10.0,10.0,2.0,2.0]]},{"pageNumber":0,"geomIndex":4429,"lastGeomIndex":4433,"textElement":"1085","identifiers":{"ELEMENT_INDICES":"1"},"tableIndex":-1,"rowIndex":49,"cellIndex":3,"fontSize":12,"issueTypeId":"SmallFontSizeIssue:XLSX","dismiss":false,"pageNumbers":[1],"coordinatesList":[[10.0,10.0,2.0,2.0]]},{"pageNumber":0,"geomIndex":4433,"lastGeomIndex":4436,"textElement":"130","identifiers":{"ELEMENT_INDICES":"1"},"tableIndex":-1,"rowIndex":49,"cellIndex":4,"fontSize":12,"issueTypeId":"SmallFontSizeIssue:XLSX","dismiss":false,"pageNumbers":[1],"coordinatesList":[[10.0,10.0,2.0,2.0]]},{"pageNumber":0,"geomIndex":4436,"lastGeomIndex":4439,"textElement":"100","identifiers":{"ELEMENT_INDICES":"1"},"tableIndex":-1,"rowIndex":49,"cellIndex":5,"fontSize":12,"issueTypeId":"SmallFontSizeIssue:XLSX","dismiss":false,"pageNumbers":[1],"coordinatesList":[[10.0,10.0,2.0,2.0]]},{"pageNumber":0,"geomIndex":4439,"lastGeomIndex":4443,"textElement":"11.6","identifiers":{"ELEMENT_INDICES":"1"},"tableIndex":-1,"rowIndex":49,"cellIndex":6,"fontSize":12,"issueTypeId":"SmallFontSizeIssue:XLSX","dismiss":false,"pageNumbers":[1],"coordinatesList":[[10.0,10.0,2.0,2.0]]},{"pageNumber":0,"geomIndex":4446,"lastGeomIndex":4451,"textElement":"21387","identifiers":{"ELEMENT_INDICES":"1"},"tableIndex":-1,"rowIndex":49,"cellIndex":8,"fontSize":12,"issueTypeId":"SmallFontSizeIssue:XLSX","dismiss":false,"pageNumbers":[1],"coordinatesList":[[10.0,10.0,2.0,2.0]]},{"pageNumber":0,"geomIndex":4464,"lastGeomIndex":4472,"textElement":"Mercedes","identifiers":{"ELEMENT_INDICES":"1"},"tableIndex":-1,"rowIndex":50,"cellIndex":0,"fontSize":12,"issueTypeId":"SmallFontSizeIssue:XLSX","dismiss":false,"pageNumbers":[1],"coordinatesList":[[10.0,10.0,2.0,2.0]]},{"pageNumber":0,"geomIndex":4472,"lastGeomIndex":4475,"textElement":"EQA","identifiers":{"ELEMENT_INDICES":"1"},"tableIndex":-1,"rowIndex":50,"cellIndex":1,"fontSize":12,"issueTypeId":"SmallFontSizeIssue:XLSX","dismiss":false,"pageNumbers":[1],"coordinatesList":[[10.0,10.0,2.0,2.0]]},{"pageNumber":0,"geomIndex":4475,"lastGeomIndex":4520,"textElement":"_xlfn.XLOOKUP($B51,Sheet2!$B:$B,Sheet2!$C:$C)","identifiers":{"ELEMENT_INDICES":"1"},"tableIndex":-1,"rowIndex":50,"cellIndex":2,"fontSize":12,"issueTypeId":"SmallFontSizeIssue:XLSX","dismiss":false,"pageNumbers":[1],"coordinatesList":[[10.0,10.0,2.0,2.0]]},{"pageNumber":0,"geomIndex":4520,"lastGeomIndex":4524,"textElement":"2040","identifiers":{"ELEMENT_INDICES":"1"},"tableIndex":-1,"rowIndex":50,"cellIndex":3,"fontSize":12,"issueTypeId":"SmallFontSizeIssue:XLSX","dismiss":false,"pageNumbers":[1],"coordinatesList":[[10.0,10.0,2.0,2.0]]},{"pageNumber":0,"geomIndex":4531,"lastGeomIndex":4534,"textElement":"171","identifiers":{"ELEMENT_INDICES":"1"},"tableIndex":-1,"rowIndex":50,"cellIndex":7,"fontSize":12,"issueTypeId":"SmallFontSizeIssue:XLSX","dismiss":false,"pageNumbers":[1],"coordinatesList":[[10.0,10.0,2.0,2.0]]},{"pageNumber":0,"geomIndex":4552,"lastGeomIndex":4565,"textElement":"Mercedes-Benz","identifiers":{"ELEMENT_INDICES":"1"},"tableIndex":-1,"rowIndex":51,"cellIndex":0,"fontSize":12,"issueTypeId":"SmallFontSizeIssue:XLSX","dismiss":false,"pageNumbers":[1],"coordinatesList":[[10.0,10.0,2.0,2.0]]},{"pageNumber":0,"geomIndex":4565,"lastGeomIndex":4568,"textElement":"EQB","identifiers":{"ELEMENT_INDICES":"1"},"tableIndex":-1,"rowIndex":51,"cellIndex":1,"fontSize":12,"issueTypeId":"SmallFontSizeIssue:XLSX","dismiss":false,"pageNumbers":[1],"coordinatesList":[[10.0,10.0,2.0,2.0]]},{"pageNumber":0,"geomIndex":4568,"lastGeomIndex":4572,"textElement":"2022","identifiers":{"ELEMENT_INDICES":"1"},"tableIndex":-1,"rowIndex":51,"cellIndex":2,"fontSize":12,"issueTypeId":"SmallFontSizeIssue:XLSX","dismiss":false,"pageNumbers":[1],"coordinatesList":[[10.0,10.0,2.0,2.0]]},{"pageNumber":0,"geomIndex":4572,"lastGeomIndex":4576,"textElement":"2160","identifiers":{"ELEMENT_INDICES":"1"},"tableIndex":-1,"rowIndex":51,"cellIndex":3,"fontSize":12,"issueTypeId":"SmallFontSizeIssue:XLSX","dismiss":false,"pageNumbers":[1],"coordinatesList":[[10.0,10.0,2.0,2.0]]},{"pageNumber":0,"geomIndex":4576,"lastGeomIndex":4579,"textElement":"160","identifiers":{"ELEMENT_INDICES":"1"},"tableIndex":-1,"rowIndex":51,"cellIndex":4,"fontSize":12,"issueTypeId":"SmallFontSizeIssue:XLSX","dismiss":false,"pageNumbers":[1],"coordinatesList":[[10.0,10.0,2.0,2.0]]},{"pageNumber":0,"geomIndex":4579,"lastGeomIndex":4582,"textElement":"423","identifiers":{"ELEMENT_INDICES":"1"},"tableIndex":-1,"rowIndex":51,"cellIndex":5,"fontSize":12,"issueTypeId":"SmallFontSizeIssue:XLSX","dismiss":false,"pageNumbers":[1],"coordinatesList":[[10.0,10.0,2.0,2.0]]},{"pageNumber":0,"geomIndex":4582,"lastGeomIndex":4585,"textElement":"6.2","identifiers":{"ELEMENT_INDICES":"1"},"tableIndex":-1,"rowIndex":51,"cellIndex":6,"fontSize":12,"issueTypeId":"SmallFontSizeIssue:XLSX","dismiss":false,"pageNumbers":[1],"coordinatesList":[[10.0,10.0,2.0,2.0]]},{"pageNumber":0,"geomIndex":4606,"lastGeomIndex":4614,"textElement":"Mercedes","identifiers":{"ELEMENT_INDICES":"1"},"tableIndex":-1,"rowIndex":52,"cellIndex":0,"fontSize":12,"issueTypeId":"SmallFontSizeIssue:XLSX","dismiss":false,"pageNumbers":[1],"coordinatesList":[[10.0,10.0,2.0,2.0]]},{"pageNumber":0,"geomIndex":4614,"lastGeomIndex":4626,"textElement":"EQC 400 4MATIC","identifiers":{"ELEMENT_INDICES":"1"},"tableIndex":-1,"rowIndex":52,"cellIndex":1,"fontSize":12,"issueTypeId":"SmallFontSizeIssue:XLSX","dismiss":false,"pageNumbers":[1],"coordinatesList":[[10.0,10.0,2.0,2.0]]},{"pageNumber":0,"geomIndex":4626,"lastGeomIndex":4671,"textElement":"_xlfn.XLOOKUP($B53,Sheet2!$B:$B,Sheet2!$C:$C)","identifiers":{"ELEMENT_INDICES":"1"},"tableIndex":-1,"rowIndex":52,"cellIndex":2,"fontSize":12,"issueTypeId":"SmallFontSizeIssue:XLSX","dismiss":false,"pageNumbers":[1],"coordinatesList":[[10.0,10.0,2.0,2.0]]},{"pageNumber":0,"geomIndex":4671,"lastGeomIndex":4675,"textElement":"2495","identifiers":{"ELEMENT_INDICES":"1"},"tableIndex":-1,"rowIndex":52,"cellIndex":3,"fontSize":12,"issueTypeId":"SmallFontSizeIssue:XLSX","dismiss":false,"pageNumbers":[1],"coordinatesList":[[10.0,10.0,2.0,2.0]]},{"pageNumber":0,"geomIndex":4705,"lastGeomIndex":4713,"textElement":"Mercedes","identifiers":{"ELEMENT_INDICES":"1"},"tableIndex":-1,"rowIndex":53,"cellIndex":0,"fontSize":12,"issueTypeId":"SmallFontSizeIssue:XLSX","dismiss":false,"pageNumbers":[1],"coordinatesList":[[10.0,10.0,2.0,2.0]]},{"pageNumber":0,"geomIndex":4713,"lastGeomIndex":4719,"textElement":"EQE SUV","identifiers":{"ELEMENT_INDICES":"1"},"tableIndex":-1,"rowIndex":53,"cellIndex":1,"fontSize":12,"issueTypeId":"SmallFontSizeIssue:XLSX","dismiss":false,"pageNumbers":[1],"coordinatesList":[[10.0,10.0,2.0,2.0]]},{"pageNumber":0,"geomIndex":4719,"lastGeomIndex":4723,"textElement":"2023","identifiers":{"ELEMENT_INDICES":"1"},"tableIndex":-1,"rowIndex":53,"cellIndex":2,"fontSize":12,"issueTypeId":"SmallFontSizeIssue:XLSX","dismiss":false,"pageNumbers":[1],"coordinatesList":[[10.0,10.0,2.0,2.0]]},{"pageNumber":0,"geomIndex":4723,"lastGeomIndex":4727,"textElement":"2605","identifiers":{"ELEMENT_INDICES":"1"},"tableIndex":-1,"rowIndex":53,"cellIndex":3,"fontSize":12,"issueTypeId":"SmallFontSizeIssue:XLSX","dismiss":false,"pageNumbers":[1],"coordinatesList":[[10.0,10.0,2.0,2.0]]},{"pageNumber":0,"geomIndex":4727,"lastGeomIndex":4730,"textElement":"210","identifiers":{"ELEMENT_INDICES":"1"},"tableIndex":-1,"rowIndex":53,"cellIndex":4,"fontSize":12,"issueTypeId":"SmallFontSizeIssue:XLSX","dismiss":false,"pageNumbers":[1],"coordinatesList":[[10.0,10.0,2.0,2.0]]},{"pageNumber":0,"geomIndex":4730,"lastGeomIndex":4733,"textElement":"560","identifiers":{"ELEMENT_INDICES":"1"},"tableIndex":-1,"rowIndex":53,"cellIndex":5,"fontSize":12,"issueTypeId":"SmallFontSizeIssue:XLSX","dismiss":false,"pageNumbers":[1],"coordinatesList":[[10.0,10.0,2.0,2.0]]},{"pageNumber":0,"geomIndex":4757,"lastGeomIndex":4765,"textElement":"Mercedes","identifiers":{"ELEMENT_INDICES":"1"},"tableIndex":-1,"rowIndex":54,"cellIndex":0,"fontSize":12,"issueTypeId":"SmallFontSizeIssue:XLSX","dismiss":false,"pageNumbers":[1],"coordinatesList":[[10.0,10.0,2.0,2.0]]},{"pageNumber":0,"geomIndex":4765,"lastGeomIndex":4775,"textElement":"EQV 300 Long","identifiers":{"ELEMENT_INDICES":"1"},"tableIndex":-1,"rowIndex":54,"cellIndex":1,"fontSize":12,"issueTypeId":"SmallFontSizeIssue:XLSX","dismiss":false,"pageNumbers":[1],"coordinatesList":[[10.0,10.0,2.0,2.0]]},{"pageNumber":0,"geomIndex":4775,"lastGeomIndex":4820,"textElement":"_xlfn.XLOOKUP($B55,Sheet2!$B:$B,Sheet2!$C:$C)","identifiers":{"ELEMENT_INDICES":"1"},"tableIndex":-1,"rowIndex":54,"cellIndex":2,"fontSize":12,"issueTypeId":"SmallFontSizeIssue:XLSX","dismiss":false,"pageNumbers":[1],"coordinatesList":[[10.0,10.0,2.0,2.0]]},{"pageNumber":0,"geomIndex":4820,"lastGeomIndex":4824,"textElement":"3170","identifiers":{"ELEMENT_INDICES":"1"},"tableIndex":-1,"rowIndex":54,"cellIndex":3,"fontSize":12,"issueTypeId":"SmallFontSizeIssue:XLSX","dismiss":false,"pageNumbers":[1],"coordinatesList":[[10.0,10.0,2.0,2.0]]},{"pageNumber":0,"geomIndex":4824,"lastGeomIndex":4827,"textElement":"140","identifiers":{"ELEMENT_INDICES":"1"},"tableIndex":-1,"rowIndex":54,"cellIndex":4,"fontSize":12,"issueTypeId":"SmallFontSizeIssue:XLSX","dismiss":false,"pageNumbers":[1],"coordinatesList":[[10.0,10.0,2.0,2.0]]},{"pageNumber":0,"geomIndex":4853,"lastGeomIndex":4856,"textElement":"Kia","identifiers":{"ELEMENT_INDICES":"1"},"tableIndex":-1,"rowIndex":55,"cellIndex":0,"fontSize":12,"issueTypeId":"SmallFontSizeIssue:XLSX","dismiss":false,"pageNumbers":[1],"coordinatesList":[[10.0,10.0,2.0,2.0]]},{"pageNumber":0,"geomIndex":4856,"lastGeomIndex":4859,"textElement":"EV9","identifiers":{"ELEMENT_INDICES":"1"},"tableIndex":-1,"rowIndex":55,"cellIndex":1,"fontSize":12,"issueTypeId":"SmallFontSizeIssue:XLSX","dismiss":false,"pageNumbers":[1],"coordinatesList":[[10.0,10.0,2.0,2.0]]},{"pageNumber":0,"geomIndex":4859,"lastGeomIndex":4863,"textElement":"2023","identifiers":{"ELEMENT_INDICES":"1"},"tableIndex":-1,"rowIndex":55,"cellIndex":2,"fontSize":12,"issueTypeId":"SmallFontSizeIssue:XLSX","dismiss":false,"pageNumbers":[1],"coordinatesList":[[10.0,10.0,2.0,2.0]]},{"pageNumber":0,"geomIndex":4863,"lastGeomIndex":4867,"textElement":"2500","identifiers":{"ELEMENT_INDICES":"1"},"tableIndex":-1,"rowIndex":55,"cellIndex":3,"fontSize":12,"issueTypeId":"SmallFontSizeIssue:XLSX","dismiss":false,"pageNumbers":[1],"coordinatesList":[[10.0,10.0,2.0,2.0]]},{"pageNumber":0,"geomIndex":4898,"lastGeomIndex":4904,"textElement":"Jaguar","identifiers":{"ELEMENT_INDICES":"1"},"tableIndex":-1,"rowIndex":56,"cellIndex":0,"fontSize":12,"issueTypeId":"SmallFontSizeIssue:XLSX","dismiss":false,"pageNumbers":[1],"coordinatesList":[[10.0,10.0,2.0,2.0]]},{"pageNumber":0,"geomIndex":4904,"lastGeomIndex":4910,"textElement":"I-Pace","identifiers":{"ELEMENT_INDICES":"1"},"tableIndex":-1,"rowIndex":56,"cellIndex":1,"fontSize":12,"issueTypeId":"SmallFontSizeIssue:XLSX","dismiss":false,"pageNumbers":[1],"coordinatesList":[[10.0,10.0,2.0,2.0]]},{"pageNumber":0,"geomIndex":4910,"lastGeomIndex":4955,"textElement":"_xlfn.XLOOKUP($B57,Sheet2!$B:$B,Sheet2!$C:$C)","identifiers":{"ELEMENT_INDICES":"1"},"tableIndex":-1,"rowIndex":56,"cellIndex":2,"fontSize":12,"issueTypeId":"SmallFontSizeIssue:XLSX","dismiss":false,"pageNumbers":[1],"coordinatesList":[[10.0,10.0,2.0,2.0]]},{"pageNumber":0,"geomIndex":4955,"lastGeomIndex":4959,"textElement":"2208","identifiers":{"ELEMENT_INDICES":"1"},"tableIndex":-1,"rowIndex":56,"cellIndex":3,"fontSize":12,"issueTypeId":"SmallFontSizeIssue:XLSX","dismiss":false,"pageNumbers":[1],"coordinatesList":[[10.0,10.0,2.0,2.0]]},{"pageNumber":0,"geomIndex":4962,"lastGeomIndex":4965,"textElement":"365","identifiers":{"ELEMENT_INDICES":"1"},"tableIndex":-1,"rowIndex":56,"cellIndex":5,"fontSize":12,"issueTypeId":"SmallFontSizeIssue:XLSX","dismiss":false,"pageNumbers":[1],"coordinatesList":[[10.0,10.0,2.0,2.0]]},{"pageNumber":0,"geomIndex":4984,"lastGeomIndex":4987,"textElement":"BMW","identifiers":{"ELEMENT_INDICES":"1"},"tableIndex":-1,"rowIndex":57,"cellIndex":0,"fontSize":12,"issueTypeId":"SmallFontSizeIssue:XLSX","dismiss":false,"pageNumbers":[1],"coordinatesList":[[10.0,10.0,2.0,2.0]]},{"pageNumber":0,"geomIndex":4987,"lastGeomIndex":4994,"textElement":"i3 120 Ah","identifiers":{"ELEMENT_INDICES":"1"},"tableIndex":-1,"rowIndex":57,"cellIndex":1,"fontSize":12,"issueTypeId":"SmallFontSizeIssue:XLSX","dismiss":false,"pageNumbers":[1],"coordinatesList":[[10.0,10.0,2.0,2.0]]},{"pageNumber":0,"geomIndex":4994,"lastGeomIndex":5039,"textElement":"_xlfn.XLOOKUP($B58,Sheet2!$B:$B,Sheet2!$C:$C)","identifiers":{"ELEMENT_INDICES":"1"},"tableIndex":-1,"rowIndex":57,"cellIndex":2,"fontSize":12,"issueTypeId":"SmallFontSizeIssue:XLSX","dismiss":false,"pageNumbers":[1],"coordinatesList":[[10.0,10.0,2.0,2.0]]},{"pageNumber":0,"geomIndex":5039,"lastGeomIndex":5043,"textElement":"1365","identifiers":{"ELEMENT_INDICES":"1"},"tableIndex":-1,"rowIndex":57,"cellIndex":3,"fontSize":12,"issueTypeId":"SmallFontSizeIssue:XLSX","dismiss":false,"pageNumbers":[1],"coordinatesList":[[10.0,10.0,2.0,2.0]]},{"pageNumber":0,"geomIndex":5043,"lastGeomIndex":5046,"textElement":"150","identifiers":{"ELEMENT_INDICES":"1"},"tableIndex":-1,"rowIndex":57,"cellIndex":4,"fontSize":12,"issueTypeId":"SmallFontSizeIssue:XLSX","dismiss":false,"pageNumbers":[1],"coordinatesList":[[10.0,10.0,2.0,2.0]]},{"pageNumber":0,"geomIndex":5046,"lastGeomIndex":5049,"textElement":"235","identifiers":{"ELEMENT_INDICES":"1"},"tableIndex":-1,"rowIndex":57,"cellIndex":5,"fontSize":12,"issueTypeId":"SmallFontSizeIssue:XLSX","dismiss":false,"pageNumbers":[1],"coordinatesList":[[10.0,10.0,2.0,2.0]]},{"pageNumber":0,"geomIndex":5073,"lastGeomIndex":5076,"textElement":"BMW","identifiers":{"ELEMENT_INDICES":"1"},"tableIndex":-1,"rowIndex":58,"cellIndex":0,"fontSize":12,"issueTypeId":"SmallFontSizeIssue:XLSX","dismiss":false,"pageNumbers":[1],"coordinatesList":[[10.0,10.0,2.0,2.0]]},{"pageNumber":0,"geomIndex":5076,"lastGeomIndex":5084,"textElement":"i3s 120 Ah","identifiers":{"ELEMENT_INDICES":"1"},"tableIndex":-1,"rowIndex":58,"cellIndex":1,"fontSize":12,"issueTypeId":"SmallFontSizeIssue:XLSX","dismiss":false,"pageNumbers":[1],"coordinatesList":[[10.0,10.0,2.0,2.0]]},{"pageNumber":0,"geomIndex":5084,"lastGeomIndex":5129,"textElement":"_xlfn.XLOOKUP($B59,Sheet2!$B:$B,Sheet2!$C:$C)","identifiers":{"ELEMENT_INDICES":"1"},"tableIndex":-1,"rowIndex":58,"cellIndex":2,"fontSize":12,"issueTypeId":"SmallFontSizeIssue:XLSX","dismiss":false,"pageNumbers":[1],"coordinatesList":[[10.0,10.0,2.0,2.0]]},{"pageNumber":0,"geomIndex":5129,"lastGeomIndex":5133,"textElement":"1345","identifiers":{"ELEMENT_INDICES":"1"},"tableIndex":-1,"rowIndex":58,"cellIndex":3,"fontSize":12,"issueTypeId":"SmallFontSizeIssue:XLSX","dismiss":false,"pageNumbers":[1],"coordinatesList":[[10.0,10.0,2.0,2.0]]},{"pageNumber":0,"geomIndex":5136,"lastGeomIndex":5139,"textElement":"230","identifiers":{"ELEMENT_INDICES":"1"},"tableIndex":-1,"rowIndex":58,"cellIndex":5,"fontSize":12,"issueTypeId":"SmallFontSizeIssue:XLSX","dismiss":false,"pageNumbers":[1],"coordinatesList":[[10.0,10.0,2.0,2.0]]},{"pageNumber":0,"geomIndex":5163,"lastGeomIndex":5166,"textElement":"BMW","identifiers":{"ELEMENT_INDICES":"1"},"tableIndex":-1,"rowIndex":59,"cellIndex":0,"fontSize":12,"issueTypeId":"SmallFontSizeIssue:XLSX","dismiss":false,"pageNumbers":[1],"coordinatesList":[[10.0,10.0,2.0,2.0]]},{"pageNumber":0,"geomIndex":5166,"lastGeomIndex":5168,"textElement":"i4","identifiers":{"ELEMENT_INDICES":"1"},"tableIndex":-1,"rowIndex":59,"cellIndex":1,"fontSize":12,"issueTypeId":"SmallFontSizeIssue:XLSX","dismiss":false,"pageNumbers":[1],"coordinatesList":[[10.0,10.0,2.0,2.0]]},{"pageNumber":0,"geomIndex":5168,"lastGeomIndex":5213,"textElement":"_xlfn.XLOOKUP($B60,Sheet2!$B:$B,Sheet2!$C:$C)","identifiers":{"ELEMENT_INDICES":"1"},"tableIndex":-1,"rowIndex":59,"cellIndex":2,"fontSize":12,"issueTypeId":"SmallFontSizeIssue:XLSX","dismiss":false,"pageNumbers":[1],"coordinatesList":[[10.0,10.0,2.0,2.0]]},{"pageNumber":0,"geomIndex":5213,"lastGeomIndex":5217,"textElement":"2290","identifiers":{"ELEMENT_INDICES":"1"},"tableIndex":-1,"rowIndex":59,"cellIndex":3,"fontSize":12,"issueTypeId":"SmallFontSizeIssue:XLSX","dismiss":false,"pageNumbers":[1],"coordinatesList":[[10.0,10.0,2.0,2.0]]},{"pageNumber":0,"geomIndex":5245,"lastGeomIndex":5248,"textElement":"BMW","identifiers":{"ELEMENT_INDICES":"1"},"tableIndex":-1,"rowIndex":60,"cellIndex":0,"fontSize":12,"issueTypeId":"SmallFontSizeIssue:XLSX","dismiss":false,"pageNumbers":[1],"coordinatesList":[[10.0,10.0,2.0,2.0]]},{"pageNumber":0,"geomIndex":5248,"lastGeomIndex":5250,"textElement":"i4","identifiers":{"ELEMENT_INDICES":"1"},"tableIndex":-1,"rowIndex":60,"cellIndex":1,"fontSize":12,"issueTypeId":"SmallFontSizeIssue:XLSX","dismiss":false,"pageNumbers":[1],"coordinatesList":[[10.0,10.0,2.0,2.0]]},{"pageNumber":0,"geomIndex":5250,"lastGeomIndex":5254,"textElement":"2022","identifiers":{"ELEMENT_INDICES":"1"},"tableIndex":-1,"rowIndex":60,"cellIndex":2,"fontSize":12,"issueTypeId":"SmallFontSizeIssue:XLSX","dismiss":false,"pageNumbers":[1],"coordinatesList":[[10.0,10.0,2.0,2.0]]},{"pageNumber":0,"geomIndex":5254,"lastGeomIndex":5258,"textElement":"2290","identifiers":{"ELEMENT_INDICES":"1"},"tableIndex":-1,"rowIndex":60,"cellIndex":3,"fontSize":12,"issueTypeId":"SmallFontSizeIssue:XLSX","dismiss":false,"pageNumbers":[1],"coordinatesList":[[10.0,10.0,2.0,2.0]]},{"pageNumber":0,"geomIndex":5261,"lastGeomIndex":5264,"textElement":"520","identifiers":{"ELEMENT_INDICES":"1"},"tableIndex":-1,"rowIndex":60,"cellIndex":5,"fontSize":12,"issueTypeId":"SmallFontSizeIssue:XLSX","dismiss":false,"pageNumbers":[1],"coordinatesList":[[10.0,10.0,2.0,2.0]]},{"pageNumber":0,"geomIndex":5288,"lastGeomIndex":5291,"textElement":"BMW","identifiers":{"ELEMENT_INDICES":"1"},"tableIndex":-1,"rowIndex":61,"cellIndex":0,"fontSize":12,"issueTypeId":"SmallFontSizeIssue:XLSX","dismiss":false,"pageNumbers":[1],"coordinatesList":[[10.0,10.0,2.0,2.0]]},{"pageNumber":0,"geomIndex":5291,"lastGeomIndex":5293,"textElement":"i7","identifiers":{"ELEMENT_INDICES":"1"},"tableIndex":-1,"rowIndex":61,"cellIndex":1,"fontSize":12,"issueTypeId":"SmallFontSizeIssue:XLSX","dismiss":false,"pageNumbers":[1],"coordinatesList":[[10.0,10.0,2.0,2.0]]},{"pageNumber":0,"geomIndex":5293,"lastGeomIndex":5297,"textElement":"2023","identifiers":{"ELEMENT_INDICES":"1"},"tableIndex":-1,"rowIndex":61,"cellIndex":2,"fontSize":12,"issueTypeId":"SmallFontSizeIssue:XLSX","dismiss":false,"pageNumbers":[1],"coordinatesList":[[10.0,10.0,2.0,2.0]]},{"pageNumber":0,"geomIndex":5297,"lastGeomIndex":5301,"textElement":"2675","identifiers":{"ELEMENT_INDICES":"1"},"tableIndex":-1,"rowIndex":61,"cellIndex":3,"fontSize":12,"issueTypeId":"SmallFontSizeIssue:XLSX","dismiss":false,"pageNumbers":[1],"coordinatesList":[[10.0,10.0,2.0,2.0]]},{"pageNumber":0,"geomIndex":5301,"lastGeomIndex":5304,"textElement":"240","identifiers":{"ELEMENT_INDICES":"1"},"tableIndex":-1,"rowIndex":61,"cellIndex":4,"fontSize":12,"issueTypeId":"SmallFontSizeIssue:XLSX","dismiss":false,"pageNumbers":[1],"coordinatesList":[[10.0,10.0,2.0,2.0]]},{"pageNumber":0,"geomIndex":5304,"lastGeomIndex":5307,"textElement":"625","identifiers":{"ELEMENT_INDICES":"1"},"tableIndex":-1,"rowIndex":61,"cellIndex":5,"fontSize":12,"issueTypeId":"SmallFontSizeIssue:XLSX","dismiss":false,"pageNumbers":[1],"coordinatesList":[[10.0,10.0,2.0,2.0]]},{"pageNumber":0,"geomIndex":5332,"lastGeomIndex":5342,"textElement":"Volkswagen","identifiers":{"ELEMENT_INDICES":"1"},"tableIndex":-1,"rowIndex":62,"cellIndex":0,"fontSize":12,"issueTypeId":"SmallFontSizeIssue:XLSX","dismiss":false,"pageNumbers":[1],"coordinatesList":[[10.0,10.0,2.0,2.0]]},{"pageNumber":0,"geomIndex":5342,"lastGeomIndex":5349,"textElement":"ID.3 1st","identifiers":{"ELEMENT_INDICES":"1"},"tableIndex":-1,"rowIndex":62,"cellIndex":1,"fontSize":12,"issueTypeId":"SmallFontSizeIssue:XLSX","dismiss":false,"pageNumbers":[1],"coordinatesList":[[10.0,10.0,2.0,2.0]]},{"pageNumber":0,"geomIndex":5349,"lastGeomIndex":5394,"textElement":"_xlfn.XLOOKUP($B63,Sheet2!$B:$B,Sheet2!$C:$C)","identifiers":{"ELEMENT_INDICES":"1"},"tableIndex":-1,"rowIndex":62,"cellIndex":2,"fontSize":12,"issueTypeId":"SmallFontSizeIssue:XLSX","dismiss":false,"pageNumbers":[1],"coordinatesList":[[10.0,10.0,2.0,2.0]]},{"pageNumber":0,"geomIndex":5394,"lastGeomIndex":5398,"textElement":"1719","identifiers":{"ELEMENT_INDICES":"1"},"tableIndex":-1,"rowIndex":62,"cellIndex":3,"fontSize":12,"issueTypeId":"SmallFontSizeIssue:XLSX","dismiss":false,"pageNumbers":[1],"coordinatesList":[[10.0,10.0,2.0,2.0]]},{"pageNumber":0,"geomIndex":5401,"lastGeomIndex":5404,"textElement":"340","identifiers":{"ELEMENT_INDICES":"1"},"tableIndex":-1,"rowIndex":62,"cellIndex":5,"fontSize":12,"issueTypeId":"SmallFontSizeIssue:XLSX","dismiss":false,"pageNumbers":[1],"coordinatesList":[[10.0,10.0,2.0,2.0]]},{"pageNumber":0,"geomIndex":5428,"lastGeomIndex":5438,"textElement":"Volkswagen","identifiers":{"ELEMENT_INDICES":"1"},"tableIndex":-1,"rowIndex":63,"cellIndex":0,"fontSize":12,"issueTypeId":"SmallFontSizeIssue:XLSX","dismiss":false,"pageNumbers":[1],"coordinatesList":[[10.0,10.0,2.0,2.0]]},{"pageNumber":0,"geomIndex":5438,"lastGeomIndex":5445,"textElement":"ID.3 Pro","identifiers":{"ELEMENT_INDICES":"1"},"tableIndex":-1,"rowIndex":63,"cellIndex":1,"fontSize":12,"issueTypeId":"SmallFontSizeIssue:XLSX","dismiss":false,"pageNumbers":[1],"coordinatesList":[[10.0,10.0,2.0,2.0]]},{"pageNumber":0,"geomIndex":5445,"lastGeomIndex":5490,"textElement":"_xlfn.XLOOKUP($B64,Sheet2!$B:$B,Sheet2!$C:$C)","identifiers":{"ELEMENT_INDICES":"1"},"tableIndex":-1,"rowIndex":63,"cellIndex":2,"fontSize":12,"issueTypeId":"SmallFontSizeIssue:XLSX","dismiss":false,"pageNumbers":[1],"coordinatesList":[[10.0,10.0,2.0,2.0]]},{"pageNumber":0,"geomIndex":5490,"lastGeomIndex":5494,"textElement":"1720","identifiers":{"ELEMENT_INDICES":"1"},"tableIndex":-1,"rowIndex":63,"cellIndex":3,"fontSize":12,"issueTypeId":"SmallFontSizeIssue:XLSX","dismiss":false,"pageNumbers":[1],"coordinatesList":[[10.0,10.0,2.0,2.0]]},{"pageNumber":0,"geomIndex":5522,"lastGeomIndex":5532,"textElement":"Volkswagen","identifiers":{"ELEMENT_INDICES":"1"},"tableIndex":-1,"rowIndex":64,"cellIndex":0,"fontSize":12,"issueTypeId":"SmallFontSizeIssue:XLSX","dismiss":false,"pageNumbers":[1],"coordinatesList":[[10.0,10.0,2.0,2.0]]},{"pageNumber":0,"geomIndex":5532,"lastGeomIndex":5550,"textElement":"ID.3 Pro Performance","identifiers":{"ELEMENT_INDICES":"1"},"tableIndex":-1,"rowIndex":64,"cellIndex":1,"fontSize":12,"issueTypeId":"SmallFontSizeIssue:XLSX","dismiss":false,"pageNumbers":[1],"coordinatesList":[[10.0,10.0,2.0,2.0]]},{"pageNumber":0,"geomIndex":5550,"lastGeomIndex":5595,"textElement":"_xlfn.XLOOKUP($B65,Sheet2!$B:$B,Sheet2!$C:$C)","identifiers":{"ELEMENT_INDICES":"1"},"tableIndex":-1,"rowIndex":64,"cellIndex":2,"fontSize":12,"issueTypeId":"SmallFontSizeIssue:XLSX","dismiss":false,"pageNumbers":[1],"coordinatesList":[[10.0,10.0,2.0,2.0]]},{"pageNumber":0,"geomIndex":5595,"lastGeomIndex":5599,"textElement":"1720","identifiers":{"ELEMENT_INDICES":"1"},"tableIndex":-1,"rowIndex":64,"cellIndex":3,"fontSize":12,"issueTypeId":"SmallFontSizeIssue:XLSX","dismiss":false,"pageNumbers":[1],"coordinatesList":[[10.0,10.0,2.0,2.0]]},{"pageNumber":0,"geomIndex":5602,"lastGeomIndex":5605,"textElement":"340","identifiers":{"ELEMENT_INDICES":"1"},"tableIndex":-1,"rowIndex":64,"cellIndex":5,"fontSize":12,"issueTypeId":"SmallFontSizeIssue:XLSX","dismiss":false,"pageNumbers":[1],"coordinatesList":[[10.0,10.0,2.0,2.0]]},{"pageNumber":0,"geomIndex":5629,"lastGeomIndex":5639,"textElement":"Volkswagen","identifiers":{"ELEMENT_INDICES":"1"},"tableIndex":-1,"rowIndex":65,"cellIndex":0,"fontSize":12,"issueTypeId":"SmallFontSizeIssue:XLSX","dismiss":false,"pageNumbers":[1],"coordinatesList":[[10.0,10.0,2.0,2.0]]},{"pageNumber":0,"geomIndex":5639,"lastGeomIndex":5647,"textElement":"ID.3 Pro S","identifiers":{"ELEMENT_INDICES":"1"},"tableIndex":-1,"rowIndex":65,"cellIndex":1,"fontSize":12,"issueTypeId":"SmallFontSizeIssue:XLSX","dismiss":false,"pageNumbers":[1],"coordinatesList":[[10.0,10.0,2.0,2.0]]},{"pageNumber":0,"geomIndex":5647,"lastGeomIndex":5692,"textElement":"_xlfn.XLOOKUP($B66,Sheet2!$B:$B,Sheet2!$C:$C)","identifiers":{"ELEMENT_INDICES":"1"},"tableIndex":-1,"rowIndex":65,"cellIndex":2,"fontSize":12,"issueTypeId":"SmallFontSizeIssue:XLSX","dismiss":false,"pageNumbers":[1],"coordinatesList":[[10.0,10.0,2.0,2.0]]},{"pageNumber":0,"geomIndex":5692,"lastGeomIndex":5696,"textElement":"1945","identifiers":{"ELEMENT_INDICES":"1"},"tableIndex":-1,"rowIndex":65,"cellIndex":3,"fontSize":12,"issueTypeId":"SmallFontSizeIssue:XLSX","dismiss":false,"pageNumbers":[1],"coordinatesList":[[10.0,10.0,2.0,2.0]]},{"pageNumber":0,"geomIndex":5699,"lastGeomIndex":5702,"textElement":"440","identifiers":{"ELEMENT_INDICES":"1"},"tableIndex":-1,"rowIndex":65,"cellIndex":5,"fontSize":12,"issueTypeId":"SmallFontSizeIssue:XLSX","dismiss":false,"pageNumbers":[1],"coordinatesList":[[10.0,10.0,2.0,2.0]]},{"pageNumber":0,"geomIndex":5726,"lastGeomIndex":5736,"textElement":"Volkswagen","identifiers":{"ELEMENT_INDICES":"1"},"tableIndex":-1,"rowIndex":66,"cellIndex":0,"fontSize":12,"issueTypeId":"SmallFontSizeIssue:XLSX","dismiss":false,"pageNumbers":[1],"coordinatesList":[[10.0,10.0,2.0,2.0]]},{"pageNumber":0,"geomIndex":5736,"lastGeomIndex":5744,"textElement":"ID.3 Pure","identifiers":{"ELEMENT_INDICES":"1"},"tableIndex":-1,"rowIndex":66,"cellIndex":1,"fontSize":12,"issueTypeId":"SmallFontSizeIssue:XLSX","dismiss":false,"pageNumbers":[1],"coordinatesList":[[10.0,10.0,2.0,2.0]]},{"pageNumber":0,"geomIndex":5744,"lastGeomIndex":5789,"textElement":"_xlfn.XLOOKUP($B67,Sheet2!$B:$B,Sheet2!$C:$C)","identifiers":{"ELEMENT_INDICES":"1"},"tableIndex":-1,"rowIndex":66,"cellIndex":2,"fontSize":12,"issueTypeId":"SmallFontSizeIssue:XLSX","dismiss":false,"pageNumbers":[1],"coordinatesList":[[10.0,10.0,2.0,2.0]]},{"pageNumber":0,"geomIndex":5789,"lastGeomIndex":5793,"textElement":"1719","identifiers":{"ELEMENT_INDICES":"1"},"tableIndex":-1,"rowIndex":66,"cellIndex":3,"fontSize":12,"issueTypeId":"SmallFontSizeIssue:XLSX","dismiss":false,"pageNumbers":[1],"coordinatesList":[[10.0,10.0,2.0,2.0]]},{"pageNumber":0,"geomIndex":5801,"lastGeomIndex":5804,"textElement":"167","identifiers":{"ELEMENT_INDICES":"1"},"tableIndex":-1,"rowIndex":66,"cellIndex":7,"fontSize":12,"issueTypeId":"SmallFontSizeIssue:XLSX","dismiss":false,"pageNumbers":[1],"coordinatesList":[[10.0,10.0,2.0,2.0]]},{"pageNumber":0,"geomIndex":5822,"lastGeomIndex":5832,"textElement":"Volkswagen","identifiers":{"ELEMENT_INDICES":"1"},"tableIndex":-1,"rowIndex":67,"cellIndex":0,"fontSize":12,"issueTypeId":"SmallFontSizeIssue:XLSX","dismiss":false,"pageNumbers":[1],"coordinatesList":[[10.0,10.0,2.0,2.0]]},{"pageNumber":0,"geomIndex":5832,"lastGeomIndex":5836,"textElement":"ID.4","identifiers":{"ELEMENT_INDICES":"1"},"tableIndex":-1,"rowIndex":67,"cellIndex":1,"fontSize":12,"issueTypeId":"SmallFontSizeIssue:XLSX","dismiss":false,"pageNumbers":[1],"coordinatesList":[[10.0,10.0,2.0,2.0]]},{"pageNumber":0,"geomIndex":5836,"lastGeomIndex":5881,"textElement":"_xlfn.XLOOKUP($B68,Sheet2!$B:$B,Sheet2!$C:$C)","identifiers":{"ELEMENT_INDICES":"1"},"tableIndex":-1,"rowIndex":67,"cellIndex":2,"fontSize":12,"issueTypeId":"SmallFontSizeIssue:XLSX","dismiss":false,"pageNumbers":[1],"coordinatesList":[[10.0,10.0,2.0,2.0]]},{"pageNumber":0,"geomIndex":5881,"lastGeomIndex":5885,"textElement":"2108","identifiers":{"ELEMENT_INDICES":"1"},"tableIndex":-1,"rowIndex":67,"cellIndex":3,"fontSize":12,"issueTypeId":"SmallFontSizeIssue:XLSX","dismiss":false,"pageNumbers":[1],"coordinatesList":[[10.0,10.0,2.0,2.0]]},{"pageNumber":0,"geomIndex":5894,"lastGeomIndex":5897,"textElement":"183","identifiers":{"ELEMENT_INDICES":"1"},"tableIndex":-1,"rowIndex":67,"cellIndex":7,"fontSize":12,"issueTypeId":"SmallFontSizeIssue:XLSX","dismiss":false,"pageNumbers":[1],"coordinatesList":[[10.0,10.0,2.0,2.0]]},{"pageNumber":0,"geomIndex":5915,"lastGeomIndex":5925,"textElement":"Volkswagen","identifiers":{"ELEMENT_INDICES":"1"},"tableIndex":-1,"rowIndex":68,"cellIndex":0,"fontSize":12,"issueTypeId":"SmallFontSizeIssue:XLSX","dismiss":false,"pageNumbers":[1],"coordinatesList":[[10.0,10.0,2.0,2.0]]},{"pageNumber":0,"geomIndex":5925,"lastGeomIndex":5929,"textElement":"ID.7","identifiers":{"ELEMENT_INDICES":"1"},"tableIndex":-1,"rowIndex":68,"cellIndex":1,"fontSize":12,"issueTypeId":"SmallFontSizeIssue:XLSX","dismiss":false,"pageNumbers":[1],"coordinatesList":[[10.0,10.0,2.0,2.0]]},{"pageNumber":0,"geomIndex":5929,"lastGeomIndex":5933,"textElement":"2023","identifiers":{"ELEMENT_INDICES":"1"},"tableIndex":-1,"rowIndex":68,"cellIndex":2,"fontSize":12,"issueTypeId":"SmallFontSizeIssue:XLSX","dismiss":false,"pageNumbers":[1],"coordinatesList":[[10.0,10.0,2.0,2.0]]},{"pageNumber":0,"geomIndex":5933,"lastGeomIndex":5937,"textElement":"2100","identifiers":{"ELEMENT_INDICES":"1"},"tableIndex":-1,"rowIndex":68,"cellIndex":3,"fontSize":12,"issueTypeId":"SmallFontSizeIssue:XLSX","dismiss":false,"pageNumbers":[1],"coordinatesList":[[10.0,10.0,2.0,2.0]]},{"pageNumber":0,"geomIndex":5940,"lastGeomIndex":5943,"textElement":"700","identifiers":{"ELEMENT_INDICES":"1"},"tableIndex":-1,"rowIndex":68,"cellIndex":5,"fontSize":12,"issueTypeId":"SmallFontSizeIssue:XLSX","dismiss":false,"pageNumbers":[1],"coordinatesList":[[10.0,10.0,2.0,2.0]]},{"pageNumber":0,"geomIndex":5944,"lastGeomIndex":5947,"textElement":"157","identifiers":{"ELEMENT_INDICES":"1"},"tableIndex":-1,"rowIndex":68,"cellIndex":7,"fontSize":12,"issueTypeId":"SmallFontSizeIssue:XLSX","dismiss":false,"pageNumbers":[1],"coordinatesList":[[10.0,10.0,2.0,2.0]]},{"pageNumber":0,"geomIndex":5965,"lastGeomIndex":5972,"textElement":"Hyundai","identifiers":{"ELEMENT_INDICES":"1"},"tableIndex":-1,"rowIndex":69,"cellIndex":0,"fontSize":12,"issueTypeId":"SmallFontSizeIssue:XLSX","dismiss":false,"pageNumbers":[1],"coordinatesList":[[10.0,10.0,2.0,2.0]]},{"pageNumber":0,"geomIndex":5972,"lastGeomIndex":5978,"textElement":"Ioniq 5","identifiers":{"ELEMENT_INDICES":"1"},"tableIndex":-1,"rowIndex":69,"cellIndex":1,"fontSize":12,"issueTypeId":"SmallFontSizeIssue:XLSX","dismiss":false,"pageNumbers":[1],"coordinatesList":[[10.0,10.0,2.0,2.0]]},{"pageNumber":0,"geomIndex":5978,"lastGeomIndex":5982,"textElement":"2022","identifiers":{"ELEMENT_INDICES":"1"},"tableIndex":-1,"rowIndex":69,"cellIndex":2,"fontSize":12,"issueTypeId":"SmallFontSizeIssue:XLSX","dismiss":false,"pageNumbers":[1],"coordinatesList":[[10.0,10.0,2.0,2.0]]},{"pageNumber":0,"geomIndex":5982,"lastGeomIndex":5986,"textElement":"2015","identifiers":{"ELEMENT_INDICES":"1"},"tableIndex":-1,"rowIndex":69,"cellIndex":3,"fontSize":12,"issueTypeId":"SmallFontSizeIssue:XLSX","dismiss":false,"pageNumbers":[1],"coordinatesList":[[10.0,10.0,2.0,2.0]]},{"pageNumber":0,"geomIndex":5986,"lastGeomIndex":5989,"textElement":"185","identifiers":{"ELEMENT_INDICES":"1"},"tableIndex":-1,"rowIndex":69,"cellIndex":4,"fontSize":12,"issueTypeId":"SmallFontSizeIssue:XLSX","dismiss":false,"pageNumbers":[1],"coordinatesList":[[10.0,10.0,2.0,2.0]]},{"pageNumber":0,"geomIndex":5989,"lastGeomIndex":5992,"textElement":"481","identifiers":{"ELEMENT_INDICES":"1"},"tableIndex":-1,"rowIndex":69,"cellIndex":5,"fontSize":12,"issueTypeId":"SmallFontSizeIssue:XLSX","dismiss":false,"pageNumbers":[1],"coordinatesList":[[10.0,10.0,2.0,2.0]]},{"pageNumber":0,"geomIndex":5992,"lastGeomIndex":5995,"textElement":"5.2","identifiers":{"ELEMENT_INDICES":"1"},"tableIndex":-1,"rowIndex":69,"cellIndex":6,"fontSize":12,"issueTypeId":"SmallFontSizeIssue:XLSX","dismiss":false,"pageNumbers":[1],"coordinatesList":[[10.0,10.0,2.0,2.0]]},{"pageNumber":0,"geomIndex":5995,"lastGeomIndex":5998,"textElement":"190","identifiers":{"ELEMENT_INDICES":"1"},"tableIndex":-1,"rowIndex":69,"cellIndex":7,"fontSize":12,"issueTypeId":"SmallFontSizeIssue:XLSX","dismiss":false,"pageNumbers":[1],"coordinatesList":[[10.0,10.0,2.0,2.0]]},{"pageNumber":0,"geomIndex":5998,"lastGeomIndex":6003,"textElement":"46000","identifiers":{"ELEMENT_INDICES":"1"},"tableIndex":-1,"rowIndex":69,"cellIndex":8,"fontSize":12,"issueTypeId":"SmallFontSizeIssue:XLSX","dismiss":false,"pageNumbers":[1],"coordinatesList":[[10.0,10.0,2.0,2.0]]},{"pageNumber":0,"geomIndex":6017,"lastGeomIndex":6024,"textElement":"Hyundai","identifiers":{"ELEMENT_INDICES":"1"},"tableIndex":-1,"rowIndex":70,"cellIndex":0,"fontSize":12,"issueTypeId":"SmallFontSizeIssue:XLSX","dismiss":false,"pageNumbers":[1],"coordinatesList":[[10.0,10.0,2.0,2.0]]},{"pageNumber":0,"geomIndex":6024,"lastGeomIndex":6030,"textElement":"Ioniq 6","identifiers":{"ELEMENT_INDICES":"1"},"tableIndex":-1,"rowIndex":70,"cellIndex":1,"fontSize":12,"issueTypeId":"SmallFontSizeIssue:XLSX","dismiss":false,"pageNumbers":[1],"coordinatesList":[[10.0,10.0,2.0,2.0]]},{"pageNumber":0,"geomIndex":6030,"lastGeomIndex":6034,"textElement":"2023","identifiers":{"ELEMENT_INDICES":"1"},"tableIndex":-1,"rowIndex":70,"cellIndex":2,"fontSize":12,"issueTypeId":"SmallFontSizeIssue:XLSX","dismiss":false,"pageNumbers":[1],"coordinatesList":[[10.0,10.0,2.0,2.0]]},{"pageNumber":0,"geomIndex":6034,"lastGeomIndex":6038,"textElement":"2010","identifiers":{"ELEMENT_INDICES":"1"},"tableIndex":-1,"rowIndex":70,"cellIndex":3,"fontSize":12,"issueTypeId":"SmallFontSizeIssue:XLSX","dismiss":false,"pageNumbers":[1],"coordinatesList":[[10.0,10.0,2.0,2.0]]},{"pageNumber":0,"geomIndex":6038,"lastGeomIndex":6041,"textElement":"185","identifiers":{"ELEMENT_INDICES":"1"},"tableIndex":-1,"rowIndex":70,"cellIndex":4,"fontSize":12,"issueTypeId":"SmallFontSizeIssue:XLSX","dismiss":false,"pageNumbers":[1],"coordinatesList":[[10.0,10.0,2.0,2.0]]},{"pageNumber":0,"geomIndex":6041,"lastGeomIndex":6044,"textElement":"614","identifiers":{"ELEMENT_INDICES":"1"},"tableIndex":-1,"rowIndex":70,"cellIndex":5,"fontSize":12,"issueTypeId":"SmallFontSizeIssue:XLSX","dismiss":false,"pageNumbers":[1],"coordinatesList":[[10.0,10.0,2.0,2.0]]},{"pageNumber":0,"geomIndex":6044,"lastGeomIndex":6047,"textElement":"5.1","identifiers":{"ELEMENT_INDICES":"1"},"tableIndex":-1,"rowIndex":70,"cellIndex":6,"fontSize":12,"issueTypeId":"SmallFontSizeIssue:XLSX","dismiss":false,"pageNumbers":[1],"coordinatesList":[[10.0,10.0,2.0,2.0]]},{"pageNumber":0,"geomIndex":6050,"lastGeomIndex":6055,"textElement":"47000","identifiers":{"ELEMENT_INDICES":"1"},"tableIndex":-1,"rowIndex":70,"cellIndex":8,"fontSize":12,"issueTypeId":"SmallFontSizeIssue:XLSX","dismiss":false,"pageNumbers":[1],"coordinatesList":[[10.0,10.0,2.0,2.0]]},{"pageNumber":0,"geomIndex":6069,"lastGeomIndex":6076,"textElement":"Hyundai","identifiers":{"ELEMENT_INDICES":"1"},"tableIndex":-1,"rowIndex":71,"cellIndex":0,"fontSize":12,"issueTypeId":"SmallFontSizeIssue:XLSX","dismiss":false,"pageNumbers":[1],"coordinatesList":[[10.0,10.0,2.0,2.0]]},{"pageNumber":0,"geomIndex":6076,"lastGeomIndex":6089,"textElement":"IONIQ Electric","identifiers":{"ELEMENT_INDICES":"1"},"tableIndex":-1,"rowIndex":71,"cellIndex":1,"fontSize":12,"issueTypeId":"SmallFontSizeIssue:XLSX","dismiss":false,"pageNumbers":[1],"coordinatesList":[[10.0,10.0,2.0,2.0]]},{"pageNumber":0,"geomIndex":6089,"lastGeomIndex":6134,"textElement":"_xlfn.XLOOKUP($B72,Sheet2!$B:$B,Sheet2!$C:$C)","identifiers":{"ELEMENT_INDICES":"1"},"tableIndex":-1,"rowIndex":71,"cellIndex":2,"fontSize":12,"issueTypeId":"SmallFontSizeIssue:XLSX","dismiss":false,"pageNumbers":[1],"coordinatesList":[[10.0,10.0,2.0,2.0]]},{"pageNumber":0,"geomIndex":6134,"lastGeomIndex":6138,"textElement":"1529","identifiers":{"ELEMENT_INDICES":"1"},"tableIndex":-1,"rowIndex":71,"cellIndex":3,"fontSize":12,"issueTypeId":"SmallFontSizeIssue:XLSX","dismiss":false,"pageNumbers":[1],"coordinatesList":[[10.0,10.0,2.0,2.0]]},{"pageNumber":0,"geomIndex":6141,"lastGeomIndex":6144,"textElement":"250","identifiers":{"ELEMENT_INDICES":"1"},"tableIndex":-1,"rowIndex":71,"cellIndex":5,"fontSize":12,"issueTypeId":"SmallFontSizeIssue:XLSX","dismiss":false,"pageNumbers":[1],"coordinatesList":[[10.0,10.0,2.0,2.0]]},{"pageNumber":0,"geomIndex":6144,"lastGeomIndex":6147,"textElement":"9.7","identifiers":{"ELEMENT_INDICES":"1"},"tableIndex":-1,"rowIndex":71,"cellIndex":6,"fontSize":12,"issueTypeId":"SmallFontSizeIssue:XLSX","dismiss":false,"pageNumbers":[1],"coordinatesList":[[10.0,10.0,2.0,2.0]]},{"pageNumber":0,"geomIndex":6147,"lastGeomIndex":6150,"textElement":"153","identifiers":{"ELEMENT_INDICES":"1"},"tableIndex":-1,"rowIndex":71,"cellIndex":7,"fontSize":12,"issueTypeId":"SmallFontSizeIssue:XLSX","dismiss":false,"pageNumbers":[1],"coordinatesList":[[10.0,10.0,2.0,2.0]]},{"pageNumber":0,"geomIndex":6150,"lastGeomIndex":6155,"textElement":"34459","identifiers":{"ELEMENT_INDICES":"1"},"tableIndex":-1,"rowIndex":71,"cellIndex":8,"fontSize":12,"issueTypeId":"SmallFontSizeIssue:XLSX","dismiss":false,"pageNumbers":[1],"coordinatesList":[[10.0,10.0,2.0,2.0]]},{"pageNumber":0,"geomIndex":6169,"lastGeomIndex":6172,"textElement":"BMW","identifiers":{"ELEMENT_INDICES":"1"},"tableIndex":-1,"rowIndex":72,"cellIndex":0,"fontSize":12,"issueTypeId":"SmallFontSizeIssue:XLSX","dismiss":false,"pageNumbers":[1],"coordinatesList":[[10.0,10.0,2.0,2.0]]},{"pageNumber":0,"geomIndex":6172,"lastGeomIndex":6174,"textElement":"iX","identifiers":{"ELEMENT_INDICES":"1"},"tableIndex":-1,"rowIndex":72,"cellIndex":1,"fontSize":12,"issueTypeId":"SmallFontSizeIssue:XLSX","dismiss":false,"pageNumbers":[1],"coordinatesList":[[10.0,10.0,2.0,2.0]]},{"pageNumber":0,"geomIndex":6174,"lastGeomIndex":6178,"textElement":"2022","identifiers":{"ELEMENT_INDICES":"1"},"tableIndex":-1,"rowIndex":72,"cellIndex":2,"fontSize":12,"issueTypeId":"SmallFontSizeIssue:XLSX","dismiss":false,"pageNumbers":[1],"coordinatesList":[[10.0,10.0,2.0,2.0]]},{"pageNumber":0,"geomIndex":6178,"lastGeomIndex":6182,"textElement":"2510","identifiers":{"ELEMENT_INDICES":"1"},"tableIndex":-1,"rowIndex":72,"cellIndex":3,"fontSize":12,"issueTypeId":"SmallFontSizeIssue:XLSX","dismiss":false,"pageNumbers":[1],"coordinatesList":[[10.0,10.0,2.0,2.0]]},{"pageNumber":0,"geomIndex":6185,"lastGeomIndex":6188,"textElement":"630","identifiers":{"ELEMENT_INDICES":"1"},"tableIndex":-1,"rowIndex":72,"cellIndex":5,"fontSize":12,"issueTypeId":"SmallFontSizeIssue:XLSX","dismiss":false,"pageNumbers":[1],"coordinatesList":[[10.0,10.0,2.0,2.0]]},{"pageNumber":0,"geomIndex":6188,"lastGeomIndex":6191,"textElement":"4.6","identifiers":{"ELEMENT_INDICES":"1"},"tableIndex":-1,"rowIndex":72,"cellIndex":6,"fontSize":12,"issueTypeId":"SmallFontSizeIssue:XLSX","dismiss":false,"pageNumbers":[1],"coordinatesList":[[10.0,10.0,2.0,2.0]]},{"pageNumber":0,"geomIndex":6191,"lastGeomIndex":6194,"textElement":"196","identifiers":{"ELEMENT_INDICES":"1"},"tableIndex":-1,"rowIndex":72,"cellIndex":7,"fontSize":12,"issueTypeId":"SmallFontSizeIssue:XLSX","dismiss":false,"pageNumbers":[1],"coordinatesList":[[10.0,10.0,2.0,2.0]]},{"pageNumber":0,"geomIndex":6194,"lastGeomIndex":6199,"textElement":"77300","identifiers":{"ELEMENT_INDICES":"1"},"tableIndex":-1,"rowIndex":72,"cellIndex":8,"fontSize":12,"issueTypeId":"SmallFontSizeIssue:XLSX","dismiss":false,"pageNumbers":[1],"coordinatesList":[[10.0,10.0,2.0,2.0]]},{"pageNumber":0,"geomIndex":6212,"lastGeomIndex":6215,"textElement":"BMW","identifiers":{"ELEMENT_INDICES":"1"},"tableIndex":-1,"rowIndex":73,"cellIndex":0,"fontSize":12,"issueTypeId":"SmallFontSizeIssue:XLSX","dismiss":false,"pageNumbers":[1],"coordinatesList":[[10.0,10.0,2.0,2.0]]},{"pageNumber":0,"geomIndex":6215,"lastGeomIndex":6218,"textElement":"iX3","identifiers":{"ELEMENT_INDICES":"1"},"tableIndex":-1,"rowIndex":73,"cellIndex":1,"fontSize":12,"issueTypeId":"SmallFontSizeIssue:XLSX","dismiss":false,"pageNumbers":[1],"coordinatesList":[[10.0,10.0,2.0,2.0]]},{"pageNumber":0,"geomIndex":6218,"lastGeomIndex":6263,"textElement":"_xlfn.XLOOKUP($B74,Sheet2!$B:$B,Sheet2!$C:$C)","identifiers":{"ELEMENT_INDICES":"1"},"tableIndex":-1,"rowIndex":73,"cellIndex":2,"fontSize":12,"issueTypeId":"SmallFontSizeIssue:XLSX","dismiss":false,"pageNumbers":[1],"coordinatesList":[[10.0,10.0,2.0,2.0]]},{"pageNumber":0,"geomIndex":6263,"lastGeomIndex":6267,"textElement":"2260","identifiers":{"ELEMENT_INDICES":"1"},"tableIndex":-1,"rowIndex":73,"cellIndex":3,"fontSize":12,"issueTypeId":"SmallFontSizeIssue:XLSX","dismiss":false,"pageNumbers":[1],"coordinatesList":[[10.0,10.0,2.0,2.0]]},{"pageNumber":0,"geomIndex":6273,"lastGeomIndex":6276,"textElement":"6.8","identifiers":{"ELEMENT_INDICES":"1"},"tableIndex":-1,"rowIndex":73,"cellIndex":6,"fontSize":12,"issueTypeId":"SmallFontSizeIssue:XLSX","dismiss":false,"pageNumbers":[1],"coordinatesList":[[10.0,10.0,2.0,2.0]]},{"pageNumber":0,"geomIndex":6279,"lastGeomIndex":6284,"textElement":"68040","identifiers":{"ELEMENT_INDICES":"1"},"tableIndex":-1,"rowIndex":73,"cellIndex":8,"fontSize":12,"issueTypeId":"SmallFontSizeIssue:XLSX","dismiss":false,"pageNumbers":[1],"coordinatesList":[[10.0,10.0,2.0,2.0]]},{"pageNumber":0,"geomIndex":6297,"lastGeomIndex":6304,"textElement":"Renault","identifiers":{"ELEMENT_INDICES":"1"},"tableIndex":-1,"rowIndex":74,"cellIndex":0,"fontSize":12,"issueTypeId":"SmallFontSizeIssue:XLSX","dismiss":false,"pageNumbers":[1],"coordinatesList":[[10.0,10.0,2.0,2.0]]},{"pageNumber":0,"geomIndex":6304,"lastGeomIndex":6318,"textElement":"Kangoo Maxi ZE 33","identifiers":{"ELEMENT_INDICES":"1"},"tableIndex":-1,"rowIndex":74,"cellIndex":1,"fontSize":12,"issueTypeId":"SmallFontSizeIssue:XLSX","dismiss":false,"pageNumbers":[1],"coordinatesList":[[10.0,10.0,2.0,2.0]]},{"pageNumber":0,"geomIndex":6318,"lastGeomIndex":6363,"textElement":"_xlfn.XLOOKUP($B75,Sheet2!$B:$B,Sheet2!$C:$C)","identifiers":{"ELEMENT_INDICES":"1"},"tableIndex":-1,"rowIndex":74,"cellIndex":2,"fontSize":12,"issueTypeId":"SmallFontSizeIssue:XLSX","dismiss":false,"pageNumbers":[1],"coordinatesList":[[10.0,10.0,2.0,2.0]]},{"pageNumber":0,"geomIndex":6363,"lastGeomIndex":6367,"textElement":"1588","identifiers":{"ELEMENT_INDICES":"1"},"tableIndex":-1,"rowIndex":74,"cellIndex":3,"fontSize":12,"issueTypeId":"SmallFontSizeIssue:XLSX","dismiss":false,"pageNumbers":[1],"coordinatesList":[[10.0,10.0,2.0,2.0]]},{"pageNumber":0,"geomIndex":6367,"lastGeomIndex":6370,"textElement":"130","identifiers":{"ELEMENT_INDICES":"1"},"tableIndex":-1,"rowIndex":74,"cellIndex":4,"fontSize":12,"issueTypeId":"SmallFontSizeIssue:XLSX","dismiss":false,"pageNumbers":[1],"coordinatesList":[[10.0,10.0,2.0,2.0]]},{"pageNumber":0,"geomIndex":6370,"lastGeomIndex":6373,"textElement":"160","identifiers":{"ELEMENT_INDICES":"1"},"tableIndex":-1,"rowIndex":74,"cellIndex":5,"fontSize":12,"issueTypeId":"SmallFontSizeIssue:XLSX","dismiss":false,"pageNumbers":[1],"coordinatesList":[[10.0,10.0,2.0,2.0]]},{"pageNumber":0,"geomIndex":6373,"lastGeomIndex":6377,"textElement":"22.4","identifiers":{"ELEMENT_INDICES":"1"},"tableIndex":-1,"rowIndex":74,"cellIndex":6,"fontSize":12,"issueTypeId":"SmallFontSizeIssue:XLSX","dismiss":false,"pageNumbers":[1],"coordinatesList":[[10.0,10.0,2.0,2.0]]},{"pageNumber":0,"geomIndex":6377,"lastGeomIndex":6380,"textElement":"194","identifiers":{"ELEMENT_INDICES":"1"},"tableIndex":-1,"rowIndex":74,"cellIndex":7,"fontSize":12,"issueTypeId":"SmallFontSizeIssue:XLSX","dismiss":false,"pageNumbers":[1],"coordinatesList":[[10.0,10.0,2.0,2.0]]},{"pageNumber":0,"geomIndex":6380,"lastGeomIndex":6385,"textElement":"38000","identifiers":{"ELEMENT_INDICES":"1"},"tableIndex":-1,"rowIndex":74,"cellIndex":8,"fontSize":12,"issueTypeId":"SmallFontSizeIssue:XLSX","dismiss":false,"pageNumbers":[1],"coordinatesList":[[10.0,10.0,2.0,2.0]]},{"pageNumber":0,"geomIndex":6385,"lastGeomIndex":6391,"textElement":"France","identifiers":{"ELEMENT_INDICES":"1"},"tableIndex":-1,"rowIndex":74,"cellIndex":9,"fontSize":12,"issueTypeId":"SmallFontSizeIssue:XLSX","dismiss":false,"pageNumbers":[1],"coordinatesList":[[10.0,10.0,2.0,2.0]]},{"pageNumber":0,"geomIndex":6391,"lastGeomIndex":6397,"textElement":"Europe","identifiers":{"ELEMENT_INDICES":"1"},"tableIndex":-1,"rowIndex":74,"cellIndex":10,"fontSize":12,"issueTypeId":"SmallFontSizeIssue:XLSX","dismiss":false,"pageNumbers":[1],"coordinatesList":[[10.0,10.0,2.0,2.0]]},{"pageNumber":0,"geomIndex":6421,"lastGeomIndex":6466,"textElement":"_xlfn.XLOOKUP($B76,Sheet2!$B:$B,Sheet2!$C:$C)","identifiers":{"ELEMENT_INDICES":"1"},"tableIndex":-1,"rowIndex":75,"cellIndex":2,"fontSize":12,"issueTypeId":"SmallFontSizeIssue:XLSX","dismiss":false,"pageNumbers":[1],"coordinatesList":[[10.0,10.0,2.0,2.0]]},{"pageNumber":0,"geomIndex":6466,"lastGeomIndex":6470,"textElement":"1535","identifiers":{"ELEMENT_INDICES":"1"},"tableIndex":-1,"rowIndex":75,"cellIndex":3,"fontSize":12,"issueTypeId":"SmallFontSizeIssue:XLSX","dismiss":false,"pageNumbers":[1],"coordinatesList":[[10.0,10.0,2.0,2.0]]},{"pageNumber":0,"geomIndex":6470,"lastGeomIndex":6473,"textElement":"155","identifiers":{"ELEMENT_INDICES":"1"},"tableIndex":-1,"rowIndex":75,"cellIndex":4,"fontSize":12,"issueTypeId":"SmallFontSizeIssue:XLSX","dismiss":false,"pageNumbers":[1],"coordinatesList":[[10.0,10.0,2.0,2.0]]},{"pageNumber":0,"geomIndex":6473,"lastGeomIndex":6476,"textElement":"255","identifiers":{"ELEMENT_INDICES":"1"},"tableIndex":-1,"rowIndex":75,"cellIndex":5,"fontSize":12,"issueTypeId":"SmallFontSizeIssue:XLSX","dismiss":false,"pageNumbers":[1],"coordinatesList":[[10.0,10.0,2.0,2.0]]},{"pageNumber":0,"geomIndex":6476,"lastGeomIndex":6479,"textElement":"9.9","identifiers":{"ELEMENT_INDICES":"1"},"tableIndex":-1,"rowIndex":75,"cellIndex":6,"fontSize":12,"issueTypeId":"SmallFontSizeIssue:XLSX","dismiss":false,"pageNumbers":[1],"coordinatesList":[[10.0,10.0,2.0,2.0]]},{"pageNumber":0,"geomIndex":6479,"lastGeomIndex":6482,"textElement":"154","identifiers":{"ELEMENT_INDICES":"1"},"tableIndex":-1,"rowIndex":75,"cellIndex":7,"fontSize":12,"issueTypeId":"SmallFontSizeIssue:XLSX","dismiss":false,"pageNumbers":[1],"coordinatesList":[[10.0,10.0,2.0,2.0]]},{"pageNumber":0,"geomIndex":6482,"lastGeomIndex":6487,"textElement":"33971","identifiers":{"ELEMENT_INDICES":"1"},"tableIndex":-1,"rowIndex":75,"cellIndex":8,"fontSize":12,"issueTypeId":"SmallFontSizeIssue:XLSX","dismiss":false,"pageNumbers":[1],"coordinatesList":[[10.0,10.0,2.0,2.0]]},{"pageNumber":0,"geomIndex":6487,"lastGeomIndex":6497,"textElement":"South Korea","identifiers":{"ELEMENT_INDICES":"1"},"tableIndex":-1,"rowIndex":75,"cellIndex":9,"fontSize":12,"issueTypeId":"SmallFontSizeIssue:XLSX","dismiss":false,"pageNumbers":[1],"coordinatesList":[[10.0,10.0,2.0,2.0]]},{"pageNumber":0,"geomIndex":6497,"lastGeomIndex":6501,"textElement":"Asia","identifiers":{"ELEMENT_INDICES":"1"},"tableIndex":-1,"rowIndex":75,"cellIndex":10,"fontSize":12,"issueTypeId":"SmallFontSizeIssue:XLSX","dismiss":false,"pageNumbers":[1],"coordinatesList":[[10.0,10.0,2.0,2.0]]},{"pageNumber":0,"geomIndex":6525,"lastGeomIndex":6570,"textElement":"_xlfn.XLOOKUP($B77,Sheet2!$B:$B,Sheet2!$C:$C)","identifiers":{"ELEMENT_INDICES":"1"},"tableIndex":-1,"rowIndex":76,"cellIndex":2,"fontSize":12,"issueTypeId":"SmallFontSizeIssue:XLSX","dismiss":false,"pageNumbers":[1],"coordinatesList":[[10.0,10.0,2.0,2.0]]},{"pageNumber":0,"geomIndex":6570,"lastGeomIndex":6574,"textElement":"1735","identifiers":{"ELEMENT_INDICES":"1"},"tableIndex":-1,"rowIndex":76,"cellIndex":3,"fontSize":12,"issueTypeId":"SmallFontSizeIssue:XLSX","dismiss":false,"pageNumbers":[1],"coordinatesList":[[10.0,10.0,2.0,2.0]]},{"pageNumber":0,"geomIndex":6574,"lastGeomIndex":6577,"textElement":"167","identifiers":{"ELEMENT_INDICES":"1"},"tableIndex":-1,"rowIndex":76,"cellIndex":4,"fontSize":12,"issueTypeId":"SmallFontSizeIssue:XLSX","dismiss":false,"pageNumbers":[1],"coordinatesList":[[10.0,10.0,2.0,2.0]]},{"pageNumber":0,"geomIndex":6580,"lastGeomIndex":6583,"textElement":"7.9","identifiers":{"ELEMENT_INDICES":"1"},"tableIndex":-1,"rowIndex":76,"cellIndex":6,"fontSize":12,"issueTypeId":"SmallFontSizeIssue:XLSX","dismiss":false,"pageNumbers":[1],"coordinatesList":[[10.0,10.0,2.0,2.0]]},{"pageNumber":0,"geomIndex":6583,"lastGeomIndex":6586,"textElement":"160","identifiers":{"ELEMENT_INDICES":"1"},"tableIndex":-1,"rowIndex":76,"cellIndex":7,"fontSize":12,"issueTypeId":"SmallFontSizeIssue:XLSX","dismiss":false,"pageNumbers":[1],"coordinatesList":[[10.0,10.0,2.0,2.0]]},{"pageNumber":0,"geomIndex":6586,"lastGeomIndex":6591,"textElement":"40795","identifiers":{"ELEMENT_INDICES":"1"},"tableIndex":-1,"rowIndex":76,"cellIndex":8,"fontSize":12,"issueTypeId":"SmallFontSizeIssue:XLSX","dismiss":false,"pageNumbers":[1],"coordinatesList":[[10.0,10.0,2.0,2.0]]},{"pageNumber":0,"geomIndex":6591,"lastGeomIndex":6601,"textElement":"South Korea","identifiers":{"ELEMENT_INDICES":"1"},"tableIndex":-1,"rowIndex":76,"cellIndex":9,"fontSize":12,"issueTypeId":"SmallFontSizeIssue:XLSX","dismiss":false,"pageNumbers":[1],"coordinatesList":[[10.0,10.0,2.0,2.0]]},{"pageNumber":0,"geomIndex":6601,"lastGeomIndex":6605,"textElement":"Asia","identifiers":{"ELEMENT_INDICES":"1"},"tableIndex":-1,"rowIndex":76,"cellIndex":10,"fontSize":12,"issueTypeId":"SmallFontSizeIssue:XLSX","dismiss":false,"pageNumbers":[1],"coordinatesList":[[10.0,10.0,2.0,2.0]]},{"pageNumber":0,"geomIndex":6615,"lastGeomIndex":6660,"textElement":"_xlfn.XLOOKUP($B78,Sheet2!$B:$B,Sheet2!$C:$C)","identifiers":{"ELEMENT_INDICES":"1"},"tableIndex":-1,"rowIndex":77,"cellIndex":2,"fontSize":12,"issueTypeId":"SmallFontSizeIssue:XLSX","dismiss":false,"pageNumbers":[1],"coordinatesList":[[10.0,10.0,2.0,2.0]]},{"pageNumber":0,"geomIndex":6660,"lastGeomIndex":6664,"textElement":"1580","identifiers":{"ELEMENT_INDICES":"1"},"tableIndex":-1,"rowIndex":77,"cellIndex":3,"fontSize":12,"issueTypeId":"SmallFontSizeIssue:XLSX","dismiss":false,"pageNumbers":[1],"coordinatesList":[[10.0,10.0,2.0,2.0]]},{"pageNumber":0,"geomIndex":6664,"lastGeomIndex":6667,"textElement":"144","identifiers":{"ELEMENT_INDICES":"1"},"tableIndex":-1,"rowIndex":77,"cellIndex":4,"fontSize":12,"issueTypeId":"SmallFontSizeIssue:XLSX","dismiss":false,"pageNumbers":[1],"coordinatesList":[[10.0,10.0,2.0,2.0]]},{"pageNumber":0,"geomIndex":6670,"lastGeomIndex":6673,"textElement":"7.9","identifiers":{"ELEMENT_INDICES":"1"},"tableIndex":-1,"rowIndex":77,"cellIndex":6,"fontSize":12,"issueTypeId":"SmallFontSizeIssue:XLSX","dismiss":false,"pageNumbers":[1],"coordinatesList":[[10.0,10.0,2.0,2.0]]},{"pageNumber":0,"geomIndex":6673,"lastGeomIndex":6676,"textElement":"164","identifiers":{"ELEMENT_INDICES":"1"},"tableIndex":-1,"rowIndex":77,"cellIndex":7,"fontSize":12,"issueTypeId":"SmallFontSizeIssue:XLSX","dismiss":false,"pageNumbers":[1],"coordinatesList":[[10.0,10.0,2.0,2.0]]},{"pageNumber":0,"geomIndex":6676,"lastGeomIndex":6681,"textElement":"29234","identifiers":{"ELEMENT_INDICES":"1"},"tableIndex":-1,"rowIndex":77,"cellIndex":8,"fontSize":12,"issueTypeId":"SmallFontSizeIssue:XLSX","dismiss":false,"pageNumbers":[1],"coordinatesList":[[10.0,10.0,2.0,2.0]]},{"pageNumber":0,"geomIndex":6681,"lastGeomIndex":6686,"textElement":"Japan","identifiers":{"ELEMENT_INDICES":"1"},"tableIndex":-1,"rowIndex":77,"cellIndex":9,"fontSize":12,"issueTypeId":"SmallFontSizeIssue:XLSX","dismiss":false,"pageNumbers":[1],"coordinatesList":[[10.0,10.0,2.0,2.0]]},{"pageNumber":0,"geomIndex":6686,"lastGeomIndex":6690,"textElement":"Asia","identifiers":{"ELEMENT_INDICES":"1"},"tableIndex":-1,"rowIndex":77,"cellIndex":10,"fontSize":12,"issueTypeId":"SmallFontSizeIssue:XLSX","dismiss":false,"pageNumbers":[1],"coordinatesList":[[10.0,10.0,2.0,2.0]]},{"pageNumber":0,"geomIndex":6702,"lastGeomIndex":6747,"textElement":"_xlfn.XLOOKUP($B79,Sheet2!$B:$B,Sheet2!$C:$C)","identifiers":{"ELEMENT_INDICES":"1"},"tableIndex":-1,"rowIndex":78,"cellIndex":2,"fontSize":12,"issueTypeId":"SmallFontSizeIssue:XLSX","dismiss":false,"pageNumbers":[1],"coordinatesList":[[10.0,10.0,2.0,2.0]]},{"pageNumber":0,"geomIndex":6747,"lastGeomIndex":6751,"textElement":"1735","identifiers":{"ELEMENT_INDICES":"1"},"tableIndex":-1,"rowIndex":78,"cellIndex":3,"fontSize":12,"issueTypeId":"SmallFontSizeIssue:XLSX","dismiss":false,"pageNumbers":[1],"coordinatesList":[[10.0,10.0,2.0,2.0]]},{"pageNumber":0,"geomIndex":6751,"lastGeomIndex":6754,"textElement":"157","identifiers":{"ELEMENT_INDICES":"1"},"tableIndex":-1,"rowIndex":78,"cellIndex":4,"fontSize":12,"issueTypeId":"SmallFontSizeIssue:XLSX","dismiss":false,"pageNumbers":[1],"coordinatesList":[[10.0,10.0,2.0,2.0]]},{"pageNumber":0,"geomIndex":6754,"lastGeomIndex":6757,"textElement":"325","identifiers":{"ELEMENT_INDICES":"1"},"tableIndex":-1,"rowIndex":78,"cellIndex":5,"fontSize":12,"issueTypeId":"SmallFontSizeIssue:XLSX","dismiss":false,"pageNumbers":[1],"coordinatesList":[[10.0,10.0,2.0,2.0]]},{"pageNumber":0,"geomIndex":6757,"lastGeomIndex":6760,"textElement":"7.3","identifiers":{"ELEMENT_INDICES":"1"},"tableIndex":-1,"rowIndex":78,"cellIndex":6,"fontSize":12,"issueTypeId":"SmallFontSizeIssue:XLSX","dismiss":false,"pageNumbers":[1],"coordinatesList":[[10.0,10.0,2.0,2.0]]},{"pageNumber":0,"geomIndex":6760,"lastGeomIndex":6763,"textElement":"172","identifiers":{"ELEMENT_INDICES":"1"},"tableIndex":-1,"rowIndex":78,"cellIndex":7,"fontSize":12,"issueTypeId":"SmallFontSizeIssue:XLSX","dismiss":false,"pageNumbers":[1],"coordinatesList":[[10.0,10.0,2.0,2.0]]},{"pageNumber":0,"geomIndex":6763,"lastGeomIndex":6768,"textElement":"37237","identifiers":{"ELEMENT_INDICES":"1"},"tableIndex":-1,"rowIndex":78,"cellIndex":8,"fontSize":12,"issueTypeId":"SmallFontSizeIssue:XLSX","dismiss":false,"pageNumbers":[1],"coordinatesList":[[10.0,10.0,2.0,2.0]]},{"pageNumber":0,"geomIndex":6768,"lastGeomIndex":6773,"textElement":"Japan","identifiers":{"ELEMENT_INDICES":"1"},"tableIndex":-1,"rowIndex":78,"cellIndex":9,"fontSize":12,"issueTypeId":"SmallFontSizeIssue:XLSX","dismiss":false,"pageNumbers":[1],"coordinatesList":[[10.0,10.0,2.0,2.0]]},{"pageNumber":0,"geomIndex":6773,"lastGeomIndex":6777,"textElement":"Asia","identifiers":{"ELEMENT_INDICES":"1"},"tableIndex":-1,"rowIndex":78,"cellIndex":10,"fontSize":12,"issueTypeId":"SmallFontSizeIssue:XLSX","dismiss":false,"pageNumbers":[1],"coordinatesList":[[10.0,10.0,2.0,2.0]]},{"pageNumber":0,"geomIndex":6777,"lastGeomIndex":6785,"textElement":"Cadillac","identifiers":{"ELEMENT_INDICES":"1"},"tableIndex":-1,"rowIndex":79,"cellIndex":0,"fontSize":12,"issueTypeId":"SmallFontSizeIssue:XLSX","dismiss":false,"pageNumbers":[1],"coordinatesList":[[10.0,10.0,2.0,2.0]]},{"pageNumber":0,"geomIndex":6785,"lastGeomIndex":6790,"textElement":"Lyriq","identifiers":{"ELEMENT_INDICES":"1"},"tableIndex":-1,"rowIndex":79,"cellIndex":1,"fontSize":12,"issueTypeId":"SmallFontSizeIssue:XLSX","dismiss":false,"pageNumbers":[1],"coordinatesList":[[10.0,10.0,2.0,2.0]]},{"pageNumber":0,"geomIndex":6790,"lastGeomIndex":6794,"textElement":"2022","identifiers":{"ELEMENT_INDICES":"1"},"tableIndex":-1,"rowIndex":79,"cellIndex":2,"fontSize":12,"issueTypeId":"SmallFontSizeIssue:XLSX","dismiss":false,"pageNumbers":[1],"coordinatesList":[[10.0,10.0,2.0,2.0]]},{"pageNumber":0,"geomIndex":6794,"lastGeomIndex":6798,"textElement":"2544","identifiers":{"ELEMENT_INDICES":"1"},"tableIndex":-1,"rowIndex":79,"cellIndex":3,"fontSize":12,"issueTypeId":"SmallFontSizeIssue:XLSX","dismiss":false,"pageNumbers":[1],"coordinatesList":[[10.0,10.0,2.0,2.0]]},{"pageNumber":0,"geomIndex":6798,"lastGeomIndex":6801,"textElement":"190","identifiers":{"ELEMENT_INDICES":"1"},"tableIndex":-1,"rowIndex":79,"cellIndex":4,"fontSize":12,"issueTypeId":"SmallFontSizeIssue:XLSX","dismiss":false,"pageNumbers":[1],"coordinatesList":[[10.0,10.0,2.0,2.0]]},{"pageNumber":0,"geomIndex":6804,"lastGeomIndex":6807,"textElement":"4.6","identifiers":{"ELEMENT_INDICES":"1"},"tableIndex":-1,"rowIndex":79,"cellIndex":6,"fontSize":12,"issueTypeId":"SmallFontSizeIssue:XLSX","dismiss":false,"pageNumbers":[1],"coordinatesList":[[10.0,10.0,2.0,2.0]]},{"pageNumber":0,"geomIndex":6807,"lastGeomIndex":6810,"textElement":"197","identifiers":{"ELEMENT_INDICES":"1"},"tableIndex":-1,"rowIndex":79,"cellIndex":7,"fontSize":12,"issueTypeId":"SmallFontSizeIssue:XLSX","dismiss":false,"pageNumbers":[1],"coordinatesList":[[10.0,10.0,2.0,2.0]]},{"pageNumber":0,"geomIndex":6810,"lastGeomIndex":6815,"textElement":"60000","identifiers":{"ELEMENT_INDICES":"1"},"tableIndex":-1,"rowIndex":79,"cellIndex":8,"fontSize":12,"issueTypeId":"SmallFontSizeIssue:XLSX","dismiss":false,"pageNumbers":[1],"coordinatesList":[[10.0,10.0,2.0,2.0]]},{"pageNumber":0,"geomIndex":6815,"lastGeomIndex":6818,"textElement":"USA","identifiers":{"ELEMENT_INDICES":"1"},"tableIndex":-1,"rowIndex":79,"cellIndex":9,"fontSize":12,"issueTypeId":"SmallFontSizeIssue:XLSX","dismiss":false,"pageNumbers":[1],"coordinatesList":[[10.0,10.0,2.0,2.0]]},{"pageNumber":0,"geomIndex":6818,"lastGeomIndex":6825,"textElement":"America","identifiers":{"ELEMENT_INDICES":"1"},"tableIndex":-1,"rowIndex":79,"cellIndex":10,"fontSize":12,"issueTypeId":"SmallFontSizeIssue:XLSX","dismiss":false,"pageNumbers":[1],"coordinatesList":[[10.0,10.0,2.0,2.0]]},{"pageNumber":0,"geomIndex":6825,"lastGeomIndex":6830,"textElement":"Byton","identifiers":{"ELEMENT_INDICES":"1"},"tableIndex":-1,"rowIndex":80,"cellIndex":0,"fontSize":12,"issueTypeId":"SmallFontSizeIssue:XLSX","dismiss":false,"pageNumbers":[1],"coordinatesList":[[10.0,10.0,2.0,2.0]]},{"pageNumber":0,"geomIndex":6830,"lastGeomIndex":6844,"textElement":"M-Byte 95 kWh 4WD","identifiers":{"ELEMENT_INDICES":"1"},"tableIndex":-1,"rowIndex":80,"cellIndex":1,"fontSize":12,"issueTypeId":"SmallFontSizeIssue:XLSX","dismiss":false,"pageNumbers":[1],"coordinatesList":[[10.0,10.0,2.0,2.0]]},{"pageNumber":0,"geomIndex":6848,"lastGeomIndex":6852,"textElement":"2400","identifiers":{"ELEMENT_INDICES":"1"},"tableIndex":-1,"rowIndex":80,"cellIndex":3,"fontSize":12,"issueTypeId":"SmallFontSizeIssue:XLSX","dismiss":false,"pageNumbers":[1],"coordinatesList":[[10.0,10.0,2.0,2.0]]},{"pageNumber":0,"geomIndex":6852,"lastGeomIndex":6855,"textElement":"190","identifiers":{"ELEMENT_INDICES":"1"},"tableIndex":-1,"rowIndex":80,"cellIndex":4,"fontSize":12,"issueTypeId":"SmallFontSizeIssue:XLSX","dismiss":false,"pageNumbers":[1],"coordinatesList":[[10.0,10.0,2.0,2.0]]},{"pageNumber":0,"geomIndex":6855,"lastGeomIndex":6858,"textElement":"390","identifiers":{"ELEMENT_INDICES":"1"},"tableIndex":-1,"rowIndex":80,"cellIndex":5,"fontSize":12,"issueTypeId":"SmallFontSizeIssue:XLSX","dismiss":false,"pageNumbers":[1],"coordinatesList":[[10.0,10.0,2.0,2.0]]},{"pageNumber":0,"geomIndex":6858,"lastGeomIndex":6861,"textElement":"5.5","identifiers":{"ELEMENT_INDICES":"1"},"tableIndex":-1,"rowIndex":80,"cellIndex":6,"fontSize":12,"issueTypeId":"SmallFontSizeIssue:XLSX","dismiss":false,"pageNumbers":[1],"coordinatesList":[[10.0,10.0,2.0,2.0]]},{"pageNumber":0,"geomIndex":6861,"lastGeomIndex":6864,"textElement":"244","identifiers":{"ELEMENT_INDICES":"1"},"tableIndex":-1,"rowIndex":80,"cellIndex":7,"fontSize":12,"issueTypeId":"SmallFontSizeIssue:XLSX","dismiss":false,"pageNumbers":[1],"coordinatesList":[[10.0,10.0,2.0,2.0]]},{"pageNumber":0,"geomIndex":6864,"lastGeomIndex":6869,"textElement":"64000","identifiers":{"ELEMENT_INDICES":"1"},"tableIndex":-1,"rowIndex":80,"cellIndex":8,"fontSize":12,"issueTypeId":"SmallFontSizeIssue:XLSX","dismiss":false,"pageNumbers":[1],"coordinatesList":[[10.0,10.0,2.0,2.0]]},{"pageNumber":0,"geomIndex":6869,"lastGeomIndex":6874,"textElement":"China","identifiers":{"ELEMENT_INDICES":"1"},"tableIndex":-1,"rowIndex":80,"cellIndex":9,"fontSize":12,"issueTypeId":"SmallFontSizeIssue:XLSX","dismiss":false,"pageNumbers":[1],"coordinatesList":[[10.0,10.0,2.0,2.0]]},{"pageNumber":0,"geomIndex":6874,"lastGeomIndex":6878,"textElement":"Asia","identifiers":{"ELEMENT_INDICES":"1"},"tableIndex":-1,"rowIndex":80,"cellIndex":10,"fontSize":12,"issueTypeId":"SmallFontSizeIssue:XLSX","dismiss":false,"pageNumbers":[1],"coordinatesList":[[10.0,10.0,2.0,2.0]]},{"pageNumber":0,"geomIndex":6893,"lastGeomIndex":6938,"textElement":"_xlfn.XLOOKUP($B82,Sheet2!$B:$B,Sheet2!$C:$C)","identifiers":{"ELEMENT_INDICES":"1"},"tableIndex":-1,"rowIndex":81,"cellIndex":2,"fontSize":12,"issueTypeId":"SmallFontSizeIssue:XLSX","dismiss":false,"pageNumbers":[1],"coordinatesList":[[10.0,10.0,2.0,2.0]]},{"pageNumber":0,"geomIndex":6938,"lastGeomIndex":6942,"textElement":"1235","identifiers":{"ELEMENT_INDICES":"1"},"tableIndex":-1,"rowIndex":81,"cellIndex":3,"fontSize":12,"issueTypeId":"SmallFontSizeIssue:XLSX","dismiss":false,"pageNumbers":[1],"coordinatesList":[[10.0,10.0,2.0,2.0]]},{"pageNumber":0,"geomIndex":6942,"lastGeomIndex":6945,"textElement":"130","identifiers":{"ELEMENT_INDICES":"1"},"tableIndex":-1,"rowIndex":81,"cellIndex":4,"fontSize":12,"issueTypeId":"SmallFontSizeIssue:XLSX","dismiss":false,"pageNumbers":[1],"coordinatesList":[[10.0,10.0,2.0,2.0]]},{"pageNumber":0,"geomIndex":6945,"lastGeomIndex":6948,"textElement":"195","identifiers":{"ELEMENT_INDICES":"1"},"tableIndex":-1,"rowIndex":81,"cellIndex":5,"fontSize":12,"issueTypeId":"SmallFontSizeIssue:XLSX","dismiss":false,"pageNumbers":[1],"coordinatesList":[[10.0,10.0,2.0,2.0]]},{"pageNumber":0,"geomIndex":6948,"lastGeomIndex":6952,"textElement":"12.3","identifiers":{"ELEMENT_INDICES":"1"},"tableIndex":-1,"rowIndex":81,"cellIndex":6,"fontSize":12,"issueTypeId":"SmallFontSizeIssue:XLSX","dismiss":false,"pageNumbers":[1],"coordinatesList":[[10.0,10.0,2.0,2.0]]},{"pageNumber":0,"geomIndex":6952,"lastGeomIndex":6955,"textElement":"166","identifiers":{"ELEMENT_INDICES":"1"},"tableIndex":-1,"rowIndex":81,"cellIndex":7,"fontSize":12,"issueTypeId":"SmallFontSizeIssue:XLSX","dismiss":false,"pageNumbers":[1],"coordinatesList":[[10.0,10.0,2.0,2.0]]},{"pageNumber":0,"geomIndex":6955,"lastGeomIndex":6960,"textElement":"20129","identifiers":{"ELEMENT_INDICES":"1"},"tableIndex":-1,"rowIndex":81,"cellIndex":8,"fontSize":12,"issueTypeId":"SmallFontSizeIssue:XLSX","dismiss":false,"pageNumbers":[1],"coordinatesList":[[10.0,10.0,2.0,2.0]]},{"pageNumber":0,"geomIndex":6960,"lastGeomIndex":6965,"textElement":"Spain","identifiers":{"ELEMENT_INDICES":"1"},"tableIndex":-1,"rowIndex":81,"cellIndex":9,"fontSize":12,"issueTypeId":"SmallFontSizeIssue:XLSX","dismiss":false,"pageNumbers":[1],"coordinatesList":[[10.0,10.0,2.0,2.0]]},{"pageNumber":0,"geomIndex":6965,"lastGeomIndex":6971,"textElement":"Europe","identifiers":{"ELEMENT_INDICES":"1"},"tableIndex":-1,"rowIndex":81,"cellIndex":10,"fontSize":12,"issueTypeId":"SmallFontSizeIssue:XLSX","dismiss":false,"pageNumbers":[1],"coordinatesList":[[10.0,10.0,2.0,2.0]]},{"pageNumber":0,"geomIndex":7000,"lastGeomIndex":7045,"textElement":"_xlfn.XLOOKUP($B83,Sheet2!$B:$B,Sheet2!$C:$C)","identifiers":{"ELEMENT_INDICES":"1"},"tableIndex":-1,"rowIndex":82,"cellIndex":2,"fontSize":12,"issueTypeId":"SmallFontSizeIssue:XLSX","dismiss":false,"pageNumbers":[1],"coordinatesList":[[10.0,10.0,2.0,2.0]]},{"pageNumber":0,"geomIndex":7045,"lastGeomIndex":7049,"textElement":"1828","identifiers":{"ELEMENT_INDICES":"1"},"tableIndex":-1,"rowIndex":82,"cellIndex":3,"fontSize":12,"issueTypeId":"SmallFontSizeIssue:XLSX","dismiss":false,"pageNumbers":[1],"coordinatesList":[[10.0,10.0,2.0,2.0]]},{"pageNumber":0,"geomIndex":7049,"lastGeomIndex":7052,"textElement":"233","identifiers":{"ELEMENT_INDICES":"1"},"tableIndex":-1,"rowIndex":82,"cellIndex":4,"fontSize":12,"issueTypeId":"SmallFontSizeIssue:XLSX","dismiss":false,"pageNumbers":[1],"coordinatesList":[[10.0,10.0,2.0,2.0]]},{"pageNumber":0,"geomIndex":7052,"lastGeomIndex":7055,"textElement":"450","identifiers":{"ELEMENT_INDICES":"1"},"tableIndex":-1,"rowIndex":82,"cellIndex":5,"fontSize":12,"issueTypeId":"SmallFontSizeIssue:XLSX","dismiss":false,"pageNumbers":[1],"coordinatesList":[[10.0,10.0,2.0,2.0]]},{"pageNumber":0,"geomIndex":7055,"lastGeomIndex":7058,"textElement":"4.6","identifiers":{"ELEMENT_INDICES":"1"},"tableIndex":-1,"rowIndex":82,"cellIndex":6,"fontSize":12,"issueTypeId":"SmallFontSizeIssue:XLSX","dismiss":false,"pageNumbers":[1],"coordinatesList":[[10.0,10.0,2.0,2.0]]},{"pageNumber":0,"geomIndex":7058,"lastGeomIndex":7061,"textElement":"161","identifiers":{"ELEMENT_INDICES":"1"},"tableIndex":-1,"rowIndex":82,"cellIndex":7,"fontSize":12,"issueTypeId":"SmallFontSizeIssue:XLSX","dismiss":false,"pageNumbers":[1],"coordinatesList":[[10.0,10.0,2.0,2.0]]},{"pageNumber":0,"geomIndex":7061,"lastGeomIndex":7066,"textElement":"55480","identifiers":{"ELEMENT_INDICES":"1"},"tableIndex":-1,"rowIndex":82,"cellIndex":8,"fontSize":12,"issueTypeId":"SmallFontSizeIssue:XLSX","dismiss":false,"pageNumbers":[1],"coordinatesList":[[10.0,10.0,2.0,2.0]]},{"pageNumber":0,"geomIndex":7066,"lastGeomIndex":7069,"textElement":"USA","identifiers":{"ELEMENT_INDICES":"1"},"tableIndex":-1,"rowIndex":82,"cellIndex":9,"fontSize":12,"issueTypeId":"SmallFontSizeIssue:XLSX","dismiss":false,"pageNumbers":[1],"coordinatesList":[[10.0,10.0,2.0,2.0]]},{"pageNumber":0,"geomIndex":7069,"lastGeomIndex":7076,"textElement":"America","identifiers":{"ELEMENT_INDICES":"1"},"tableIndex":-1,"rowIndex":82,"cellIndex":10,"fontSize":12,"issueTypeId":"SmallFontSizeIssue:XLSX","dismiss":false,"pageNumbers":[1],"coordinatesList":[[10.0,10.0,2.0,2.0]]},{"pageNumber":0,"geomIndex":7107,"lastGeomIndex":7152,"textElement":"_xlfn.XLOOKUP($B84,Sheet2!$B:$B,Sheet2!$C:$C)","identifiers":{"ELEMENT_INDICES":"1"},"tableIndex":-1,"rowIndex":83,"cellIndex":2,"fontSize":12,"issueTypeId":"SmallFontSizeIssue:XLSX","dismiss":false,"pageNumbers":[1],"coordinatesList":[[10.0,10.0,2.0,2.0]]},{"pageNumber":0,"geomIndex":7152,"lastGeomIndex":7156,"textElement":"1841","identifiers":{"ELEMENT_INDICES":"1"},"tableIndex":-1,"rowIndex":83,"cellIndex":3,"fontSize":12,"issueTypeId":"SmallFontSizeIssue:XLSX","dismiss":false,"pageNumbers":[1],"coordinatesList":[[10.0,10.0,2.0,2.0]]},{"pageNumber":0,"geomIndex":7156,"lastGeomIndex":7159,"textElement":"261","identifiers":{"ELEMENT_INDICES":"1"},"tableIndex":-1,"rowIndex":83,"cellIndex":4,"fontSize":12,"issueTypeId":"SmallFontSizeIssue:XLSX","dismiss":false,"pageNumbers":[1],"coordinatesList":[[10.0,10.0,2.0,2.0]]},{"pageNumber":0,"geomIndex":7159,"lastGeomIndex":7162,"textElement":"435","identifiers":{"ELEMENT_INDICES":"1"},"tableIndex":-1,"rowIndex":83,"cellIndex":5,"fontSize":12,"issueTypeId":"SmallFontSizeIssue:XLSX","dismiss":false,"pageNumbers":[1],"coordinatesList":[[10.0,10.0,2.0,2.0]]},{"pageNumber":0,"geomIndex":7162,"lastGeomIndex":7165,"textElement":"3.4","identifiers":{"ELEMENT_INDICES":"1"},"tableIndex":-1,"rowIndex":83,"cellIndex":6,"fontSize":12,"issueTypeId":"SmallFontSizeIssue:XLSX","dismiss":false,"pageNumbers":[1],"coordinatesList":[[10.0,10.0,2.0,2.0]]},{"pageNumber":0,"geomIndex":7165,"lastGeomIndex":7168,"textElement":"167","identifiers":{"ELEMENT_INDICES":"1"},"tableIndex":-1,"rowIndex":83,"cellIndex":7,"fontSize":12,"issueTypeId":"SmallFontSizeIssue:XLSX","dismiss":false,"pageNumbers":[1],"coordinatesList":[[10.0,10.0,2.0,2.0]]},{"pageNumber":0,"geomIndex":7168,"lastGeomIndex":7173,"textElement":"61480","identifiers":{"ELEMENT_INDICES":"1"},"tableIndex":-1,"rowIndex":83,"cellIndex":8,"fontSize":12,"issueTypeId":"SmallFontSizeIssue:XLSX","dismiss":false,"pageNumbers":[1],"coordinatesList":[[10.0,10.0,2.0,2.0]]},{"pageNumber":0,"geomIndex":7173,"lastGeomIndex":7176,"textElement":"USA","identifiers":{"ELEMENT_INDICES":"1"},"tableIndex":-1,"rowIndex":83,"cellIndex":9,"fontSize":12,"issueTypeId":"SmallFontSizeIssue:XLSX","dismiss":false,"pageNumbers":[1],"coordinatesList":[[10.0,10.0,2.0,2.0]]},{"pageNumber":0,"geomIndex":7176,"lastGeomIndex":7183,"textElement":"America","identifiers":{"ELEMENT_INDICES":"1"},"tableIndex":-1,"rowIndex":83,"cellIndex":10,"fontSize":12,"issueTypeId":"SmallFontSizeIssue:XLSX","dismiss":false,"pageNumbers":[1],"coordinatesList":[[10.0,10.0,2.0,2.0]]},{"pageNumber":0,"geomIndex":7211,"lastGeomIndex":7256,"textElement":"_xlfn.XLOOKUP($B85,Sheet2!$B:$B,Sheet2!$C:$C)","identifiers":{"ELEMENT_INDICES":"1"},"tableIndex":-1,"rowIndex":84,"cellIndex":2,"fontSize":12,"issueTypeId":"SmallFontSizeIssue:XLSX","dismiss":false,"pageNumbers":[1],"coordinatesList":[[10.0,10.0,2.0,2.0]]},{"pageNumber":0,"geomIndex":7256,"lastGeomIndex":7260,"textElement":"1611","identifiers":{"ELEMENT_INDICES":"1"},"tableIndex":-1,"rowIndex":84,"cellIndex":3,"fontSize":12,"issueTypeId":"SmallFontSizeIssue:XLSX","dismiss":false,"pageNumbers":[1],"coordinatesList":[[10.0,10.0,2.0,2.0]]},{"pageNumber":0,"geomIndex":7260,"lastGeomIndex":7263,"textElement":"225","identifiers":{"ELEMENT_INDICES":"1"},"tableIndex":-1,"rowIndex":84,"cellIndex":4,"fontSize":12,"issueTypeId":"SmallFontSizeIssue:XLSX","dismiss":false,"pageNumbers":[1],"coordinatesList":[[10.0,10.0,2.0,2.0]]},{"pageNumber":0,"geomIndex":7263,"lastGeomIndex":7266,"textElement":"310","identifiers":{"ELEMENT_INDICES":"1"},"tableIndex":-1,"rowIndex":84,"cellIndex":5,"fontSize":12,"issueTypeId":"SmallFontSizeIssue:XLSX","dismiss":false,"pageNumbers":[1],"coordinatesList":[[10.0,10.0,2.0,2.0]]},{"pageNumber":0,"geomIndex":7266,"lastGeomIndex":7269,"textElement":"5.6","identifiers":{"ELEMENT_INDICES":"1"},"tableIndex":-1,"rowIndex":84,"cellIndex":6,"fontSize":12,"issueTypeId":"SmallFontSizeIssue:XLSX","dismiss":false,"pageNumbers":[1],"coordinatesList":[[10.0,10.0,2.0,2.0]]},{"pageNumber":0,"geomIndex":7269,"lastGeomIndex":7272,"textElement":"153","identifiers":{"ELEMENT_INDICES":"1"},"tableIndex":-1,"rowIndex":84,"cellIndex":7,"fontSize":12,"issueTypeId":"SmallFontSizeIssue:XLSX","dismiss":false,"pageNumbers":[1],"coordinatesList":[[10.0,10.0,2.0,2.0]]},{"pageNumber":0,"geomIndex":7272,"lastGeomIndex":7277,"textElement":"46380","identifiers":{"ELEMENT_INDICES":"1"},"tableIndex":-1,"rowIndex":84,"cellIndex":8,"fontSize":12,"issueTypeId":"SmallFontSizeIssue:XLSX","dismiss":false,"pageNumbers":[1],"coordinatesList":[[10.0,10.0,2.0,2.0]]},{"pageNumber":0,"geomIndex":7277,"lastGeomIndex":7280,"textElement":"USA","identifiers":{"ELEMENT_INDICES":"1"},"tableIndex":-1,"rowIndex":84,"cellIndex":9,"fontSize":12,"issueTypeId":"SmallFontSizeIssue:XLSX","dismiss":false,"pageNumbers":[1],"coordinatesList":[[10.0,10.0,2.0,2.0]]},{"pageNumber":0,"geomIndex":7280,"lastGeomIndex":7287,"textElement":"America","identifiers":{"ELEMENT_INDICES":"1"},"tableIndex":-1,"rowIndex":84,"cellIndex":10,"fontSize":12,"issueTypeId":"SmallFontSizeIssue:XLSX","dismiss":false,"pageNumbers":[1],"coordinatesList":[[10.0,10.0,2.0,2.0]]},{"pageNumber":0,"geomIndex":7292,"lastGeomIndex":7307,"textElement":"Model S Long Range","identifiers":{"ELEMENT_INDICES":"1"},"tableIndex":-1,"rowIndex":85,"cellIndex":1,"fontSize":12,"issueTypeId":"SmallFontSizeIssue:XLSX","dismiss":false,"pageNumbers":[1],"coordinatesList":[[10.0,10.0,2.0,2.0]]},{"pageNumber":0,"geomIndex":7307,"lastGeomIndex":7352,"textElement":"_xlfn.XLOOKUP($B86,Sheet2!$B:$B,Sheet2!$C:$C)","identifiers":{"ELEMENT_INDICES":"1"},"tableIndex":-1,"rowIndex":85,"cellIndex":2,"fontSize":12,"issueTypeId":"SmallFontSizeIssue:XLSX","dismiss":false,"pageNumbers":[1],"coordinatesList":[[10.0,10.0,2.0,2.0]]},{"pageNumber":0,"geomIndex":7352,"lastGeomIndex":7356,"textElement":"2162","identifiers":{"ELEMENT_INDICES":"1"},"tableIndex":-1,"rowIndex":85,"cellIndex":3,"fontSize":12,"issueTypeId":"SmallFontSizeIssue:XLSX","dismiss":false,"pageNumbers":[1],"coordinatesList":[[10.0,10.0,2.0,2.0]]},{"pageNumber":0,"geomIndex":7356,"lastGeomIndex":7359,"textElement":"250","identifiers":{"ELEMENT_INDICES":"1"},"tableIndex":-1,"rowIndex":85,"cellIndex":4,"fontSize":12,"issueTypeId":"SmallFontSizeIssue:XLSX","dismiss":false,"pageNumbers":[1],"coordinatesList":[[10.0,10.0,2.0,2.0]]},{"pageNumber":0,"geomIndex":7359,"lastGeomIndex":7362,"textElement":"515","identifiers":{"ELEMENT_INDICES":"1"},"tableIndex":-1,"rowIndex":85,"cellIndex":5,"fontSize":12,"issueTypeId":"SmallFontSizeIssue:XLSX","dismiss":false,"pageNumbers":[1],"coordinatesList":[[10.0,10.0,2.0,2.0]]},{"pageNumber":0,"geomIndex":7362,"lastGeomIndex":7365,"textElement":"3.8","identifiers":{"ELEMENT_INDICES":"1"},"tableIndex":-1,"rowIndex":85,"cellIndex":6,"fontSize":12,"issueTypeId":"SmallFontSizeIssue:XLSX","dismiss":false,"pageNumbers":[1],"coordinatesList":[[10.0,10.0,2.0,2.0]]},{"pageNumber":0,"geomIndex":7365,"lastGeomIndex":7368,"textElement":"184","identifiers":{"ELEMENT_INDICES":"1"},"tableIndex":-1,"rowIndex":85,"cellIndex":7,"fontSize":12,"issueTypeId":"SmallFontSizeIssue:XLSX","dismiss":false,"pageNumbers":[1],"coordinatesList":[[10.0,10.0,2.0,2.0]]},{"pageNumber":0,"geomIndex":7368,"lastGeomIndex":7373,"textElement":"79990","identifiers":{"ELEMENT_INDICES":"1"},"tableIndex":-1,"rowIndex":85,"cellIndex":8,"fontSize":12,"issueTypeId":"SmallFontSizeIssue:XLSX","dismiss":false,"pageNumbers":[1],"coordinatesList":[[10.0,10.0,2.0,2.0]]},{"pageNumber":0,"geomIndex":7373,"lastGeomIndex":7376,"textElement":"USA","identifiers":{"ELEMENT_INDICES":"1"},"tableIndex":-1,"rowIndex":85,"cellIndex":9,"fontSize":12,"issueTypeId":"SmallFontSizeIssue:XLSX","dismiss":false,"pageNumbers":[1],"coordinatesList":[[10.0,10.0,2.0,2.0]]},{"pageNumber":0,"geomIndex":7376,"lastGeomIndex":7383,"textElement":"America","identifiers":{"ELEMENT_INDICES":"1"},"tableIndex":-1,"rowIndex":85,"cellIndex":10,"fontSize":12,"issueTypeId":"SmallFontSizeIssue:XLSX","dismiss":false,"pageNumbers":[1],"coordinatesList":[[10.0,10.0,2.0,2.0]]},{"pageNumber":0,"geomIndex":7405,"lastGeomIndex":7450,"textElement":"_xlfn.XLOOKUP($B87,Sheet2!$B:$B,Sheet2!$C:$C)","identifiers":{"ELEMENT_INDICES":"1"},"tableIndex":-1,"rowIndex":86,"cellIndex":2,"fontSize":12,"issueTypeId":"SmallFontSizeIssue:XLSX","dismiss":false,"pageNumbers":[1],"coordinatesList":[[10.0,10.0,2.0,2.0]]},{"pageNumber":0,"geomIndex":7450,"lastGeomIndex":7454,"textElement":"2241","identifiers":{"ELEMENT_INDICES":"1"},"tableIndex":-1,"rowIndex":86,"cellIndex":3,"fontSize":12,"issueTypeId":"SmallFontSizeIssue:XLSX","dismiss":false,"pageNumbers":[1],"coordinatesList":[[10.0,10.0,2.0,2.0]]},{"pageNumber":0,"geomIndex":7454,"lastGeomIndex":7457,"textElement":"261","identifiers":{"ELEMENT_INDICES":"1"},"tableIndex":-1,"rowIndex":86,"cellIndex":4,"fontSize":12,"issueTypeId":"SmallFontSizeIssue:XLSX","dismiss":false,"pageNumbers":[1],"coordinatesList":[[10.0,10.0,2.0,2.0]]},{"pageNumber":0,"geomIndex":7457,"lastGeomIndex":7460,"textElement":"505","identifiers":{"ELEMENT_INDICES":"1"},"tableIndex":-1,"rowIndex":86,"cellIndex":5,"fontSize":12,"issueTypeId":"SmallFontSizeIssue:XLSX","dismiss":false,"pageNumbers":[1],"coordinatesList":[[10.0,10.0,2.0,2.0]]},{"pageNumber":0,"geomIndex":7460,"lastGeomIndex":7463,"textElement":"2.5","identifiers":{"ELEMENT_INDICES":"1"},"tableIndex":-1,"rowIndex":86,"cellIndex":6,"fontSize":12,"issueTypeId":"SmallFontSizeIssue:XLSX","dismiss":false,"pageNumbers":[1],"coordinatesList":[[10.0,10.0,2.0,2.0]]},{"pageNumber":0,"geomIndex":7463,"lastGeomIndex":7466,"textElement":"188","identifiers":{"ELEMENT_INDICES":"1"},"tableIndex":-1,"rowIndex":86,"cellIndex":7,"fontSize":12,"issueTypeId":"SmallFontSizeIssue:XLSX","dismiss":false,"pageNumbers":[1],"coordinatesList":[[10.0,10.0,2.0,2.0]]},{"pageNumber":0,"geomIndex":7466,"lastGeomIndex":7471,"textElement":"96990","identifiers":{"ELEMENT_INDICES":"1"},"tableIndex":-1,"rowIndex":86,"cellIndex":8,"fontSize":12,"issueTypeId":"SmallFontSizeIssue:XLSX","dismiss":false,"pageNumbers":[1],"coordinatesList":[[10.0,10.0,2.0,2.0]]},{"pageNumber":0,"geomIndex":7471,"lastGeomIndex":7474,"textElement":"USA","identifiers":{"ELEMENT_INDICES":"1"},"tableIndex":-1,"rowIndex":86,"cellIndex":9,"fontSize":12,"issueTypeId":"SmallFontSizeIssue:XLSX","dismiss":false,"pageNumbers":[1],"coordinatesList":[[10.0,10.0,2.0,2.0]]},{"pageNumber":0,"geomIndex":7474,"lastGeomIndex":7481,"textElement":"America","identifiers":{"ELEMENT_INDICES":"1"},"tableIndex":-1,"rowIndex":86,"cellIndex":10,"fontSize":12,"issueTypeId":"SmallFontSizeIssue:XLSX","dismiss":false,"pageNumbers":[1],"coordinatesList":[[10.0,10.0,2.0,2.0]]},{"pageNumber":0,"geomIndex":7501,"lastGeomIndex":7546,"textElement":"_xlfn.XLOOKUP($B88,Sheet2!$B:$B,Sheet2!$C:$C)","identifiers":{"ELEMENT_INDICES":"1"},"tableIndex":-1,"rowIndex":87,"cellIndex":2,"fontSize":12,"issueTypeId":"SmallFontSizeIssue:XLSX","dismiss":false,"pageNumbers":[1],"coordinatesList":[[10.0,10.0,2.0,2.0]]},{"pageNumber":0,"geomIndex":7546,"lastGeomIndex":7550,"textElement":"2459","identifiers":{"ELEMENT_INDICES":"1"},"tableIndex":-1,"rowIndex":87,"cellIndex":3,"fontSize":12,"issueTypeId":"SmallFontSizeIssue:XLSX","dismiss":false,"pageNumbers":[1],"coordinatesList":[[10.0,10.0,2.0,2.0]]},{"pageNumber":0,"geomIndex":7550,"lastGeomIndex":7553,"textElement":"250","identifiers":{"ELEMENT_INDICES":"1"},"tableIndex":-1,"rowIndex":87,"cellIndex":4,"fontSize":12,"issueTypeId":"SmallFontSizeIssue:XLSX","dismiss":false,"pageNumbers":[1],"coordinatesList":[[10.0,10.0,2.0,2.0]]},{"pageNumber":0,"geomIndex":7553,"lastGeomIndex":7556,"textElement":"450","identifiers":{"ELEMENT_INDICES":"1"},"tableIndex":-1,"rowIndex":87,"cellIndex":5,"fontSize":12,"issueTypeId":"SmallFontSizeIssue:XLSX","dismiss":false,"pageNumbers":[1],"coordinatesList":[[10.0,10.0,2.0,2.0]]},{"pageNumber":0,"geomIndex":7556,"lastGeomIndex":7559,"textElement":"4.6","identifiers":{"ELEMENT_INDICES":"1"},"tableIndex":-1,"rowIndex":87,"cellIndex":6,"fontSize":12,"issueTypeId":"SmallFontSizeIssue:XLSX","dismiss":false,"pageNumbers":[1],"coordinatesList":[[10.0,10.0,2.0,2.0]]},{"pageNumber":0,"geomIndex":7559,"lastGeomIndex":7562,"textElement":"211","identifiers":{"ELEMENT_INDICES":"1"},"tableIndex":-1,"rowIndex":87,"cellIndex":7,"fontSize":12,"issueTypeId":"SmallFontSizeIssue:XLSX","dismiss":false,"pageNumbers":[1],"coordinatesList":[[10.0,10.0,2.0,2.0]]},{"pageNumber":0,"geomIndex":7562,"lastGeomIndex":7567,"textElement":"85990","identifiers":{"ELEMENT_INDICES":"1"},"tableIndex":-1,"rowIndex":87,"cellIndex":8,"fontSize":12,"issueTypeId":"SmallFontSizeIssue:XLSX","dismiss":false,"pageNumbers":[1],"coordinatesList":[[10.0,10.0,2.0,2.0]]},{"pageNumber":0,"geomIndex":7567,"lastGeomIndex":7570,"textElement":"USA","identifiers":{"ELEMENT_INDICES":"1"},"tableIndex":-1,"rowIndex":87,"cellIndex":9,"fontSize":12,"issueTypeId":"SmallFontSizeIssue:XLSX","dismiss":false,"pageNumbers":[1],"coordinatesList":[[10.0,10.0,2.0,2.0]]},{"pageNumber":0,"geomIndex":7570,"lastGeomIndex":7577,"textElement":"America","identifiers":{"ELEMENT_INDICES":"1"},"tableIndex":-1,"rowIndex":87,"cellIndex":10,"fontSize":12,"issueTypeId":"SmallFontSizeIssue:XLSX","dismiss":false,"pageNumbers":[1],"coordinatesList":[[10.0,10.0,2.0,2.0]]},{"pageNumber":0,"geomIndex":7599,"lastGeomIndex":7644,"textElement":"_xlfn.XLOOKUP($B89,Sheet2!$B:$B,Sheet2!$C:$C)","identifiers":{"ELEMENT_INDICES":"1"},"tableIndex":-1,"rowIndex":88,"cellIndex":2,"fontSize":12,"issueTypeId":"SmallFontSizeIssue:XLSX","dismiss":false,"pageNumbers":[1],"coordinatesList":[[10.0,10.0,2.0,2.0]]},{"pageNumber":0,"geomIndex":7644,"lastGeomIndex":7648,"textElement":"2539","identifiers":{"ELEMENT_INDICES":"1"},"tableIndex":-1,"rowIndex":88,"cellIndex":3,"fontSize":12,"issueTypeId":"SmallFontSizeIssue:XLSX","dismiss":false,"pageNumbers":[1],"coordinatesList":[[10.0,10.0,2.0,2.0]]},{"pageNumber":0,"geomIndex":7648,"lastGeomIndex":7651,"textElement":"250","identifiers":{"ELEMENT_INDICES":"1"},"tableIndex":-1,"rowIndex":88,"cellIndex":4,"fontSize":12,"issueTypeId":"SmallFontSizeIssue:XLSX","dismiss":false,"pageNumbers":[1],"coordinatesList":[[10.0,10.0,2.0,2.0]]},{"pageNumber":0,"geomIndex":7651,"lastGeomIndex":7654,"textElement":"440","identifiers":{"ELEMENT_INDICES":"1"},"tableIndex":-1,"rowIndex":88,"cellIndex":5,"fontSize":12,"issueTypeId":"SmallFontSizeIssue:XLSX","dismiss":false,"pageNumbers":[1],"coordinatesList":[[10.0,10.0,2.0,2.0]]},{"pageNumber":0,"geomIndex":7654,"lastGeomIndex":7657,"textElement":"2.8","identifiers":{"ELEMENT_INDICES":"1"},"tableIndex":-1,"rowIndex":88,"cellIndex":6,"fontSize":12,"issueTypeId":"SmallFontSizeIssue:XLSX","dismiss":false,"pageNumbers":[1],"coordinatesList":[[10.0,10.0,2.0,2.0]]},{"pageNumber":0,"geomIndex":7657,"lastGeomIndex":7660,"textElement":"216","identifiers":{"ELEMENT_INDICES":"1"},"tableIndex":-1,"rowIndex":88,"cellIndex":7,"fontSize":12,"issueTypeId":"SmallFontSizeIssue:XLSX","dismiss":false,"pageNumbers":[1],"coordinatesList":[[10.0,10.0,2.0,2.0]]},{"pageNumber":0,"geomIndex":7660,"lastGeomIndex":7666,"textElement":"102990","identifiers":{"ELEMENT_INDICES":"1"},"tableIndex":-1,"rowIndex":88,"cellIndex":8,"fontSize":12,"issueTypeId":"SmallFontSizeIssue:XLSX","dismiss":false,"pageNumbers":[1],"coordinatesList":[[10.0,10.0,2.0,2.0]]},{"pageNumber":0,"geomIndex":7666,"lastGeomIndex":7669,"textElement":"USA","identifiers":{"ELEMENT_INDICES":"1"},"tableIndex":-1,"rowIndex":88,"cellIndex":9,"fontSize":12,"issueTypeId":"SmallFontSizeIssue:XLSX","dismiss":false,"pageNumbers":[1],"coordinatesList":[[10.0,10.0,2.0,2.0]]},{"pageNumber":0,"geomIndex":7669,"lastGeomIndex":7676,"textElement":"America","identifiers":{"ELEMENT_INDICES":"1"},"tableIndex":-1,"rowIndex":88,"cellIndex":10,"fontSize":12,"issueTypeId":"SmallFontSizeIssue:XLSX","dismiss":false,"pageNumbers":[1],"coordinatesList":[[10.0,10.0,2.0,2.0]]},{"pageNumber":0,"geomIndex":7681,"lastGeomIndex":7705,"textElement":"Model Y Long Range Dual Motor","identifiers":{"ELEMENT_INDICES":"1"},"tableIndex":-1,"rowIndex":89,"cellIndex":1,"fontSize":12,"issueTypeId":"SmallFontSizeIssue:XLSX","dismiss":false,"pageNumbers":[1],"coordinatesList":[[10.0,10.0,2.0,2.0]]},{"pageNumber":0,"geomIndex":7705,"lastGeomIndex":7750,"textElement":"_xlfn.XLOOKUP($B90,Sheet2!$B:$B,Sheet2!$C:$C)","identifiers":{"ELEMENT_INDICES":"1"},"tableIndex":-1,"rowIndex":89,"cellIndex":2,"fontSize":12,"issueTypeId":"SmallFontSizeIssue:XLSX","dismiss":false,"pageNumbers":[1],"coordinatesList":[[10.0,10.0,2.0,2.0]]},{"pageNumber":0,"geomIndex":7750,"lastGeomIndex":7754,"textElement":"1935","identifiers":{"ELEMENT_INDICES":"1"},"tableIndex":-1,"rowIndex":89,"cellIndex":3,"fontSize":12,"issueTypeId":"SmallFontSizeIssue:XLSX","dismiss":false,"pageNumbers":[1],"coordinatesList":[[10.0,10.0,2.0,2.0]]},{"pageNumber":0,"geomIndex":7754,"lastGeomIndex":7757,"textElement":"217","identifiers":{"ELEMENT_INDICES":"1"},"tableIndex":-1,"rowIndex":89,"cellIndex":4,"fontSize":12,"issueTypeId":"SmallFontSizeIssue:XLSX","dismiss":false,"pageNumbers":[1],"coordinatesList":[[10.0,10.0,2.0,2.0]]},{"pageNumber":0,"geomIndex":7757,"lastGeomIndex":7760,"textElement":"425","identifiers":{"ELEMENT_INDICES":"1"},"tableIndex":-1,"rowIndex":89,"cellIndex":5,"fontSize":12,"issueTypeId":"SmallFontSizeIssue:XLSX","dismiss":false,"pageNumbers":[1],"coordinatesList":[[10.0,10.0,2.0,2.0]]},{"pageNumber":0,"geomIndex":7760,"lastGeomIndex":7763,"textElement":"5.1","identifiers":{"ELEMENT_INDICES":"1"},"tableIndex":-1,"rowIndex":89,"cellIndex":6,"fontSize":12,"issueTypeId":"SmallFontSizeIssue:XLSX","dismiss":false,"pageNumbers":[1],"coordinatesList":[[10.0,10.0,2.0,2.0]]},{"pageNumber":0,"geomIndex":7763,"lastGeomIndex":7766,"textElement":"171","identifiers":{"ELEMENT_INDICES":"1"},"tableIndex":-1,"rowIndex":89,"cellIndex":7,"fontSize":12,"issueTypeId":"SmallFontSizeIssue:XLSX","dismiss":false,"pageNumbers":[1],"coordinatesList":[[10.0,10.0,2.0,2.0]]},{"pageNumber":0,"geomIndex":7766,"lastGeomIndex":7771,"textElement":"58620","identifiers":{"ELEMENT_INDICES":"1"},"tableIndex":-1,"rowIndex":89,"cellIndex":8,"fontSize":12,"issueTypeId":"SmallFontSizeIssue:XLSX","dismiss":false,"pageNumbers":[1],"coordinatesList":[[10.0,10.0,2.0,2.0]]},{"pageNumber":0,"geomIndex":7771,"lastGeomIndex":7774,"textElement":"USA","identifiers":{"ELEMENT_INDICES":"1"},"tableIndex":-1,"rowIndex":89,"cellIndex":9,"fontSize":12,"issueTypeId":"SmallFontSizeIssue:XLSX","dismiss":false,"pageNumbers":[1],"coordinatesList":[[10.0,10.0,2.0,2.0]]},{"pageNumber":0,"geomIndex":7774,"lastGeomIndex":7781,"textElement":"America","identifiers":{"ELEMENT_INDICES":"1"},"tableIndex":-1,"rowIndex":89,"cellIndex":10,"fontSize":12,"issueTypeId":"SmallFontSizeIssue:XLSX","dismiss":false,"pageNumbers":[1],"coordinatesList":[[10.0,10.0,2.0,2.0]]},{"pageNumber":0,"geomIndex":7812,"lastGeomIndex":7857,"textElement":"_xlfn.XLOOKUP($B91,Sheet2!$B:$B,Sheet2!$C:$C)","identifiers":{"ELEMENT_INDICES":"1"},"tableIndex":-1,"rowIndex":90,"cellIndex":2,"fontSize":12,"issueTypeId":"SmallFontSizeIssue:XLSX","dismiss":false,"pageNumbers":[1],"coordinatesList":[[10.0,10.0,2.0,2.0]]},{"pageNumber":0,"geomIndex":7857,"lastGeomIndex":7861,"textElement":"2003","identifiers":{"ELEMENT_INDICES":"1"},"tableIndex":-1,"rowIndex":90,"cellIndex":3,"fontSize":12,"issueTypeId":"SmallFontSizeIssue:XLSX","dismiss":false,"pageNumbers":[1],"coordinatesList":[[10.0,10.0,2.0,2.0]]},{"pageNumber":0,"geomIndex":7861,"lastGeomIndex":7864,"textElement":"241","identifiers":{"ELEMENT_INDICES":"1"},"tableIndex":-1,"rowIndex":90,"cellIndex":4,"fontSize":12,"issueTypeId":"SmallFontSizeIssue:XLSX","dismiss":false,"pageNumbers":[1],"coordinatesList":[[10.0,10.0,2.0,2.0]]},{"pageNumber":0,"geomIndex":7864,"lastGeomIndex":7867,"textElement":"410","identifiers":{"ELEMENT_INDICES":"1"},"tableIndex":-1,"rowIndex":90,"cellIndex":5,"fontSize":12,"issueTypeId":"SmallFontSizeIssue:XLSX","dismiss":false,"pageNumbers":[1],"coordinatesList":[[10.0,10.0,2.0,2.0]]},{"pageNumber":0,"geomIndex":7867,"lastGeomIndex":7870,"textElement":"3.7","identifiers":{"ELEMENT_INDICES":"1"},"tableIndex":-1,"rowIndex":90,"cellIndex":6,"fontSize":12,"issueTypeId":"SmallFontSizeIssue:XLSX","dismiss":false,"pageNumbers":[1],"coordinatesList":[[10.0,10.0,2.0,2.0]]},{"pageNumber":0,"geomIndex":7870,"lastGeomIndex":7873,"textElement":"177","identifiers":{"ELEMENT_INDICES":"1"},"tableIndex":-1,"rowIndex":90,"cellIndex":7,"fontSize":12,"issueTypeId":"SmallFontSizeIssue:XLSX","dismiss":false,"pageNumbers":[1],"coordinatesList":[[10.0,10.0,2.0,2.0]]},{"pageNumber":0,"geomIndex":7873,"lastGeomIndex":7878,"textElement":"65620","identifiers":{"ELEMENT_INDICES":"1"},"tableIndex":-1,"rowIndex":90,"cellIndex":8,"fontSize":12,"issueTypeId":"SmallFontSizeIssue:XLSX","dismiss":false,"pageNumbers":[1],"coordinatesList":[[10.0,10.0,2.0,2.0]]},{"pageNumber":0,"geomIndex":7878,"lastGeomIndex":7881,"textElement":"USA","identifiers":{"ELEMENT_INDICES":"1"},"tableIndex":-1,"rowIndex":90,"cellIndex":9,"fontSize":12,"issueTypeId":"SmallFontSizeIssue:XLSX","dismiss":false,"pageNumbers":[1],"coordinatesList":[[10.0,10.0,2.0,2.0]]},{"pageNumber":0,"geomIndex":7881,"lastGeomIndex":7888,"textElement":"America","identifiers":{"ELEMENT_INDICES":"1"},"tableIndex":-1,"rowIndex":90,"cellIndex":10,"fontSize":12,"issueTypeId":"SmallFontSizeIssue:XLSX","dismiss":false,"pageNumbers":[1],"coordinatesList":[[10.0,10.0,2.0,2.0]]},{"pageNumber":0,"geomIndex":7899,"lastGeomIndex":7944,"textElement":"_xlfn.XLOOKUP($B92,Sheet2!$B:$B,Sheet2!$C:$C)","identifiers":{"ELEMENT_INDICES":"1"},"tableIndex":-1,"rowIndex":91,"cellIndex":2,"fontSize":12,"issueTypeId":"SmallFontSizeIssue:XLSX","dismiss":false,"pageNumbers":[1],"coordinatesList":[[10.0,10.0,2.0,2.0]]},{"pageNumber":0,"geomIndex":7944,"lastGeomIndex":7948,"textElement":"1598","identifiers":{"ELEMENT_INDICES":"1"},"tableIndex":-1,"rowIndex":91,"cellIndex":3,"fontSize":12,"issueTypeId":"SmallFontSizeIssue:XLSX","dismiss":false,"pageNumbers":[1],"coordinatesList":[[10.0,10.0,2.0,2.0]]},{"pageNumber":0,"geomIndex":7948,"lastGeomIndex":7951,"textElement":"150","identifiers":{"ELEMENT_INDICES":"1"},"tableIndex":-1,"rowIndex":91,"cellIndex":4,"fontSize":12,"issueTypeId":"SmallFontSizeIssue:XLSX","dismiss":false,"pageNumbers":[1],"coordinatesList":[[10.0,10.0,2.0,2.0]]},{"pageNumber":0,"geomIndex":7951,"lastGeomIndex":7954,"textElement":"255","identifiers":{"ELEMENT_INDICES":"1"},"tableIndex":-1,"rowIndex":91,"cellIndex":5,"fontSize":12,"issueTypeId":"SmallFontSizeIssue:XLSX","dismiss":false,"pageNumbers":[1],"coordinatesList":[[10.0,10.0,2.0,2.0]]},{"pageNumber":0,"geomIndex":7954,"lastGeomIndex":7957,"textElement":"8.5","identifiers":{"ELEMENT_INDICES":"1"},"tableIndex":-1,"rowIndex":91,"cellIndex":6,"fontSize":12,"issueTypeId":"SmallFontSizeIssue:XLSX","dismiss":false,"pageNumbers":[1],"coordinatesList":[[10.0,10.0,2.0,2.0]]},{"pageNumber":0,"geomIndex":7957,"lastGeomIndex":7960,"textElement":"176","identifiers":{"ELEMENT_INDICES":"1"},"tableIndex":-1,"rowIndex":91,"cellIndex":7,"fontSize":12,"issueTypeId":"SmallFontSizeIssue:XLSX","dismiss":false,"pageNumbers":[1],"coordinatesList":[[10.0,10.0,2.0,2.0]]},{"pageNumber":0,"geomIndex":7960,"lastGeomIndex":7965,"textElement":"35000","identifiers":{"ELEMENT_INDICES":"1"},"tableIndex":-1,"rowIndex":91,"cellIndex":8,"fontSize":12,"issueTypeId":"SmallFontSizeIssue:XLSX","dismiss":false,"pageNumbers":[1],"coordinatesList":[[10.0,10.0,2.0,2.0]]},{"pageNumber":0,"geomIndex":7965,"lastGeomIndex":7972,"textElement":"Germany","identifiers":{"ELEMENT_INDICES":"1"},"tableIndex":-1,"rowIndex":91,"cellIndex":9,"fontSize":12,"issueTypeId":"SmallFontSizeIssue:XLSX","dismiss":false,"pageNumbers":[1],"coordinatesList":[[10.0,10.0,2.0,2.0]]},{"pageNumber":0,"geomIndex":7972,"lastGeomIndex":7978,"textElement":"Europe","identifiers":{"ELEMENT_INDICES":"1"},"tableIndex":-1,"rowIndex":91,"cellIndex":10,"fontSize":12,"issueTypeId":"SmallFontSizeIssue:XLSX","dismiss":false,"pageNumbers":[1],"coordinatesList":[[10.0,10.0,2.0,2.0]]},{"pageNumber":0,"geomIndex":7978,"lastGeomIndex":7983,"textElement":"Lucid","identifiers":{"ELEMENT_INDICES":"1"},"tableIndex":-1,"rowIndex":92,"cellIndex":0,"fontSize":12,"issueTypeId":"SmallFontSizeIssue:XLSX","dismiss":false,"pageNumbers":[1],"coordinatesList":[[10.0,10.0,2.0,2.0]]},{"pageNumber":0,"geomIndex":7983,"lastGeomIndex":7996,"textElement":"Motors Gravity","identifiers":{"ELEMENT_INDICES":"1"},"tableIndex":-1,"rowIndex":92,"cellIndex":1,"fontSize":12,"issueTypeId":"SmallFontSizeIssue:XLSX","dismiss":false,"pageNumbers":[1],"coordinatesList":[[10.0,10.0,2.0,2.0]]},{"pageNumber":0,"geomIndex":7996,"lastGeomIndex":8000,"textElement":"2023","identifiers":{"ELEMENT_INDICES":"1"},"tableIndex":-1,"rowIndex":92,"cellIndex":2,"fontSize":12,"issueTypeId":"SmallFontSizeIssue:XLSX","dismiss":false,"pageNumbers":[1],"coordinatesList":[[10.0,10.0,2.0,2.0]]},{"pageNumber":0,"geomIndex":8000,"lastGeomIndex":8004,"textElement":"2500","identifiers":{"ELEMENT_INDICES":"1"},"tableIndex":-1,"rowIndex":92,"cellIndex":3,"fontSize":12,"issueTypeId":"SmallFontSizeIssue:XLSX","dismiss":false,"pageNumbers":[1],"coordinatesList":[[10.0,10.0,2.0,2.0]]},{"pageNumber":0,"geomIndex":8004,"lastGeomIndex":8007,"textElement":"250","identifiers":{"ELEMENT_INDICES":"1"},"tableIndex":-1,"rowIndex":92,"cellIndex":4,"fontSize":12,"issueTypeId":"SmallFontSizeIssue:XLSX","dismiss":false,"pageNumbers":[1],"coordinatesList":[[10.0,10.0,2.0,2.0]]},{"pageNumber":0,"geomIndex":8007,"lastGeomIndex":8010,"textElement":"653","identifiers":{"ELEMENT_INDICES":"1"},"tableIndex":-1,"rowIndex":92,"cellIndex":5,"fontSize":12,"issueTypeId":"SmallFontSizeIssue:XLSX","dismiss":false,"pageNumbers":[1],"coordinatesList":[[10.0,10.0,2.0,2.0]]},{"pageNumber":0,"geomIndex":8010,"lastGeomIndex":8013,"textElement":"3.1","identifiers":{"ELEMENT_INDICES":"1"},"tableIndex":-1,"rowIndex":92,"cellIndex":6,"fontSize":12,"issueTypeId":"SmallFontSizeIssue:XLSX","dismiss":false,"pageNumbers":[1],"coordinatesList":[[10.0,10.0,2.0,2.0]]},{"pageNumber":0,"geomIndex":8013,"lastGeomIndex":8016,"textElement":"160","identifiers":{"ELEMENT_INDICES":"1"},"tableIndex":-1,"rowIndex":92,"cellIndex":7,"fontSize":12,"issueTypeId":"SmallFontSizeIssue:XLSX","dismiss":false,"pageNumbers":[1],"coordinatesList":[[10.0,10.0,2.0,2.0]]},{"pageNumber":0,"geomIndex":8016,"lastGeomIndex":8021,"textElement":"90000","identifiers":{"ELEMENT_INDICES":"1"},"tableIndex":-1,"rowIndex":92,"cellIndex":8,"fontSize":12,"issueTypeId":"SmallFontSizeIssue:XLSX","dismiss":false,"pageNumbers":[1],"coordinatesList":[[10.0,10.0,2.0,2.0]]},{"pageNumber":0,"geomIndex":8021,"lastGeomIndex":8024,"textElement":"USA","identifiers":{"ELEMENT_INDICES":"1"},"tableIndex":-1,"rowIndex":92,"cellIndex":9,"fontSize":12,"issueTypeId":"SmallFontSizeIssue:XLSX","dismiss":false,"pageNumbers":[1],"coordinatesList":[[10.0,10.0,2.0,2.0]]},{"pageNumber":0,"geomIndex":8024,"lastGeomIndex":8031,"textElement":"America","identifiers":{"ELEMENT_INDICES":"1"},"tableIndex":-1,"rowIndex":92,"cellIndex":10,"fontSize":12,"issueTypeId":"SmallFontSizeIssue:XLSX","dismiss":false,"pageNumbers":[1],"coordinatesList":[[10.0,10.0,2.0,2.0]]},{"pageNumber":0,"geomIndex":8053,"lastGeomIndex":8098,"textElement":"_xlfn.XLOOKUP($B94,Sheet2!$B:$B,Sheet2!$C:$C)","identifiers":{"ELEMENT_INDICES":"1"},"tableIndex":-1,"rowIndex":93,"cellIndex":2,"fontSize":12,"issueTypeId":"SmallFontSizeIssue:XLSX","dismiss":false,"pageNumbers":[1],"coordinatesList":[[10.0,10.0,2.0,2.0]]},{"pageNumber":0,"geomIndex":8098,"lastGeomIndex":8102,"textElement":"2273","identifiers":{"ELEMENT_INDICES":"1"},"tableIndex":-1,"rowIndex":93,"cellIndex":3,"fontSize":12,"issueTypeId":"SmallFontSizeIssue:XLSX","dismiss":false,"pageNumbers":[1],"coordinatesList":[[10.0,10.0,2.0,2.0]]},{"pageNumber":0,"geomIndex":8102,"lastGeomIndex":8105,"textElement":"180","identifiers":{"ELEMENT_INDICES":"1"},"tableIndex":-1,"rowIndex":93,"cellIndex":4,"fontSize":12,"issueTypeId":"SmallFontSizeIssue:XLSX","dismiss":false,"pageNumbers":[1],"coordinatesList":[[10.0,10.0,2.0,2.0]]},{"pageNumber":0,"geomIndex":8105,"lastGeomIndex":8108,"textElement":"430","identifiers":{"ELEMENT_INDICES":"1"},"tableIndex":-1,"rowIndex":93,"cellIndex":5,"fontSize":12,"issueTypeId":"SmallFontSizeIssue:XLSX","dismiss":false,"pageNumbers":[1],"coordinatesList":[[10.0,10.0,2.0,2.0]]},{"pageNumber":0,"geomIndex":8109,"lastGeomIndex":8112,"textElement":"209","identifiers":{"ELEMENT_INDICES":"1"},"tableIndex":-1,"rowIndex":93,"cellIndex":7,"fontSize":12,"issueTypeId":"SmallFontSizeIssue:XLSX","dismiss":false,"pageNumbers":[1],"coordinatesList":[[10.0,10.0,2.0,2.0]]},{"pageNumber":0,"geomIndex":8112,"lastGeomIndex":8117,"textElement":"62900","identifiers":{"ELEMENT_INDICES":"1"},"tableIndex":-1,"rowIndex":93,"cellIndex":8,"fontSize":12,"issueTypeId":"SmallFontSizeIssue:XLSX","dismiss":false,"pageNumbers":[1],"coordinatesList":[[10.0,10.0,2.0,2.0]]},{"pageNumber":0,"geomIndex":8117,"lastGeomIndex":8120,"textElement":"USA","identifiers":{"ELEMENT_INDICES":"1"},"tableIndex":-1,"rowIndex":93,"cellIndex":9,"fontSize":12,"issueTypeId":"SmallFontSizeIssue:XLSX","dismiss":false,"pageNumbers":[1],"coordinatesList":[[10.0,10.0,2.0,2.0]]},{"pageNumber":0,"geomIndex":8120,"lastGeomIndex":8127,"textElement":"America","identifiers":{"ELEMENT_INDICES":"1"},"tableIndex":-1,"rowIndex":93,"cellIndex":10,"fontSize":12,"issueTypeId":"SmallFontSizeIssue:XLSX","dismiss":false,"pageNumbers":[1],"coordinatesList":[[10.0,10.0,2.0,2.0]]},{"pageNumber":0,"geomIndex":8149,"lastGeomIndex":8194,"textElement":"_xlfn.XLOOKUP($B95,Sheet2!$B:$B,Sheet2!$C:$C)","identifiers":{"ELEMENT_INDICES":"1"},"tableIndex":-1,"rowIndex":94,"cellIndex":2,"fontSize":12,"issueTypeId":"SmallFontSizeIssue:XLSX","dismiss":false,"pageNumbers":[1],"coordinatesList":[[10.0,10.0,2.0,2.0]]},{"pageNumber":0,"geomIndex":8194,"lastGeomIndex":8198,"textElement":"2198","identifiers":{"ELEMENT_INDICES":"1"},"tableIndex":-1,"rowIndex":94,"cellIndex":3,"fontSize":12,"issueTypeId":"SmallFontSizeIssue:XLSX","dismiss":false,"pageNumbers":[1],"coordinatesList":[[10.0,10.0,2.0,2.0]]},{"pageNumber":0,"geomIndex":8198,"lastGeomIndex":8201,"textElement":"180","identifiers":{"ELEMENT_INDICES":"1"},"tableIndex":-1,"rowIndex":94,"cellIndex":4,"fontSize":12,"issueTypeId":"SmallFontSizeIssue:XLSX","dismiss":false,"pageNumbers":[1],"coordinatesList":[[10.0,10.0,2.0,2.0]]},{"pageNumber":0,"geomIndex":8201,"lastGeomIndex":8204,"textElement":"450","identifiers":{"ELEMENT_INDICES":"1"},"tableIndex":-1,"rowIndex":94,"cellIndex":5,"fontSize":12,"issueTypeId":"SmallFontSizeIssue:XLSX","dismiss":false,"pageNumbers":[1],"coordinatesList":[[10.0,10.0,2.0,2.0]]},{"pageNumber":0,"geomIndex":8208,"lastGeomIndex":8213,"textElement":"54475","identifiers":{"ELEMENT_INDICES":"1"},"tableIndex":-1,"rowIndex":94,"cellIndex":8,"fontSize":12,"issueTypeId":"SmallFontSizeIssue:XLSX","dismiss":false,"pageNumbers":[1],"coordinatesList":[[10.0,10.0,2.0,2.0]]},{"pageNumber":0,"geomIndex":8213,"lastGeomIndex":8216,"textElement":"USA","identifiers":{"ELEMENT_INDICES":"1"},"tableIndex":-1,"rowIndex":94,"cellIndex":9,"fontSize":12,"issueTypeId":"SmallFontSizeIssue:XLSX","dismiss":false,"pageNumbers":[1],"coordinatesList":[[10.0,10.0,2.0,2.0]]},{"pageNumber":0,"geomIndex":8216,"lastGeomIndex":8223,"textElement":"America","identifiers":{"ELEMENT_INDICES":"1"},"tableIndex":-1,"rowIndex":94,"cellIndex":10,"fontSize":12,"issueTypeId":"SmallFontSizeIssue:XLSX","dismiss":false,"pageNumbers":[1],"coordinatesList":[[10.0,10.0,2.0,2.0]]},{"pageNumber":0,"geomIndex":8245,"lastGeomIndex":8290,"textElement":"_xlfn.XLOOKUP($B96,Sheet2!$B:$B,Sheet2!$C:$C)","identifiers":{"ELEMENT_INDICES":"1"},"tableIndex":-1,"rowIndex":95,"cellIndex":2,"fontSize":12,"issueTypeId":"SmallFontSizeIssue:XLSX","dismiss":false,"pageNumbers":[1],"coordinatesList":[[10.0,10.0,2.0,2.0]]},{"pageNumber":0,"geomIndex":8290,"lastGeomIndex":8294,"textElement":"2195","identifiers":{"ELEMENT_INDICES":"1"},"tableIndex":-1,"rowIndex":95,"cellIndex":3,"fontSize":12,"issueTypeId":"SmallFontSizeIssue:XLSX","dismiss":false,"pageNumbers":[1],"coordinatesList":[[10.0,10.0,2.0,2.0]]},{"pageNumber":0,"geomIndex":8294,"lastGeomIndex":8297,"textElement":"180","identifiers":{"ELEMENT_INDICES":"1"},"tableIndex":-1,"rowIndex":95,"cellIndex":4,"fontSize":12,"issueTypeId":"SmallFontSizeIssue:XLSX","dismiss":false,"pageNumbers":[1],"coordinatesList":[[10.0,10.0,2.0,2.0]]},{"pageNumber":0,"geomIndex":8297,"lastGeomIndex":8300,"textElement":"340","identifiers":{"ELEMENT_INDICES":"1"},"tableIndex":-1,"rowIndex":95,"cellIndex":5,"fontSize":12,"issueTypeId":"SmallFontSizeIssue:XLSX","dismiss":false,"pageNumbers":[1],"coordinatesList":[[10.0,10.0,2.0,2.0]]},{"pageNumber":0,"geomIndex":8301,"lastGeomIndex":8304,"textElement":"206","identifiers":{"ELEMENT_INDICES":"1"},"tableIndex":-1,"rowIndex":95,"cellIndex":7,"fontSize":12,"issueTypeId":"SmallFontSizeIssue:XLSX","dismiss":false,"pageNumbers":[1],"coordinatesList":[[10.0,10.0,2.0,2.0]]},{"pageNumber":0,"geomIndex":8304,"lastGeomIndex":8309,"textElement":"54000","identifiers":{"ELEMENT_INDICES":"1"},"tableIndex":-1,"rowIndex":95,"cellIndex":8,"fontSize":12,"issueTypeId":"SmallFontSizeIssue:XLSX","dismiss":false,"pageNumbers":[1],"coordinatesList":[[10.0,10.0,2.0,2.0]]},{"pageNumber":0,"geomIndex":8309,"lastGeomIndex":8312,"textElement":"USA","identifiers":{"ELEMENT_INDICES":"1"},"tableIndex":-1,"rowIndex":95,"cellIndex":9,"fontSize":12,"issueTypeId":"SmallFontSizeIssue:XLSX","dismiss":false,"pageNumbers":[1],"coordinatesList":[[10.0,10.0,2.0,2.0]]},{"pageNumber":0,"geomIndex":8312,"lastGeomIndex":8319,"textElement":"America","identifiers":{"ELEMENT_INDICES":"1"},"tableIndex":-1,"rowIndex":95,"cellIndex":10,"fontSize":12,"issueTypeId":"SmallFontSizeIssue:XLSX","dismiss":false,"pageNumbers":[1],"coordinatesList":[[10.0,10.0,2.0,2.0]]},{"pageNumber":0,"geomIndex":8341,"lastGeomIndex":8386,"textElement":"_xlfn.XLOOKUP($B97,Sheet2!$B:$B,Sheet2!$C:$C)","identifiers":{"ELEMENT_INDICES":"1"},"tableIndex":-1,"rowIndex":96,"cellIndex":2,"fontSize":12,"issueTypeId":"SmallFontSizeIssue:XLSX","dismiss":false,"pageNumbers":[1],"coordinatesList":[[10.0,10.0,2.0,2.0]]},{"pageNumber":0,"geomIndex":8386,"lastGeomIndex":8390,"textElement":"2182","identifiers":{"ELEMENT_INDICES":"1"},"tableIndex":-1,"rowIndex":96,"cellIndex":3,"fontSize":12,"issueTypeId":"SmallFontSizeIssue:XLSX","dismiss":false,"pageNumbers":[1],"coordinatesList":[[10.0,10.0,2.0,2.0]]},{"pageNumber":0,"geomIndex":8390,"lastGeomIndex":8393,"textElement":"180","identifiers":{"ELEMENT_INDICES":"1"},"tableIndex":-1,"rowIndex":96,"cellIndex":4,"fontSize":12,"issueTypeId":"SmallFontSizeIssue:XLSX","dismiss":false,"pageNumbers":[1],"coordinatesList":[[10.0,10.0,2.0,2.0]]},{"pageNumber":0,"geomIndex":8393,"lastGeomIndex":8396,"textElement":"360","identifiers":{"ELEMENT_INDICES":"1"},"tableIndex":-1,"rowIndex":96,"cellIndex":5,"fontSize":12,"issueTypeId":"SmallFontSizeIssue:XLSX","dismiss":false,"pageNumbers":[1],"coordinatesList":[[10.0,10.0,2.0,2.0]]},{"pageNumber":0,"geomIndex":8396,"lastGeomIndex":8399,"textElement":"6.6","identifiers":{"ELEMENT_INDICES":"1"},"tableIndex":-1,"rowIndex":96,"cellIndex":6,"fontSize":12,"issueTypeId":"SmallFontSizeIssue:XLSX","dismiss":false,"pageNumbers":[1],"coordinatesList":[[10.0,10.0,2.0,2.0]]},{"pageNumber":0,"geomIndex":8399,"lastGeomIndex":8402,"textElement":"194","identifiers":{"ELEMENT_INDICES":"1"},"tableIndex":-1,"rowIndex":96,"cellIndex":7,"fontSize":12,"issueTypeId":"SmallFontSizeIssue:XLSX","dismiss":false,"pageNumbers":[1],"coordinatesList":[[10.0,10.0,2.0,2.0]]},{"pageNumber":0,"geomIndex":8402,"lastGeomIndex":8407,"textElement":"46900","identifiers":{"ELEMENT_INDICES":"1"},"tableIndex":-1,"rowIndex":96,"cellIndex":8,"fontSize":12,"issueTypeId":"SmallFontSizeIssue:XLSX","dismiss":false,"pageNumbers":[1],"coordinatesList":[[10.0,10.0,2.0,2.0]]},{"pageNumber":0,"geomIndex":8407,"lastGeomIndex":8410,"textElement":"USA","identifiers":{"ELEMENT_INDICES":"1"},"tableIndex":-1,"rowIndex":96,"cellIndex":9,"fontSize":12,"issueTypeId":"SmallFontSizeIssue:XLSX","dismiss":false,"pageNumbers":[1],"coordinatesList":[[10.0,10.0,2.0,2.0]]},{"pageNumber":0,"geomIndex":8410,"lastGeomIndex":8417,"textElement":"America","identifiers":{"ELEMENT_INDICES":"1"},"tableIndex":-1,"rowIndex":96,"cellIndex":10,"fontSize":12,"issueTypeId":"SmallFontSizeIssue:XLSX","dismiss":false,"pageNumbers":[1],"coordinatesList":[[10.0,10.0,2.0,2.0]]},{"pageNumber":0,"geomIndex":8417,"lastGeomIndex":8422,"textElement":"Mazda","identifiers":{"ELEMENT_INDICES":"1"},"tableIndex":-1,"rowIndex":97,"cellIndex":0,"fontSize":12,"issueTypeId":"SmallFontSizeIssue:XLSX","dismiss":false,"pageNumbers":[1],"coordinatesList":[[10.0,10.0,2.0,2.0]]},{"pageNumber":0,"geomIndex":8422,"lastGeomIndex":8427,"textElement":"MX-30","identifiers":{"ELEMENT_INDICES":"1"},"tableIndex":-1,"rowIndex":97,"cellIndex":1,"fontSize":12,"issueTypeId":"SmallFontSizeIssue:XLSX","dismiss":false,"pageNumbers":[1],"coordinatesList":[[10.0,10.0,2.0,2.0]]},{"pageNumber":0,"geomIndex":8427,"lastGeomIndex":8472,"textElement":"_xlfn.XLOOKUP($B98,Sheet2!$B:$B,Sheet2!$C:$C)","identifiers":{"ELEMENT_INDICES":"1"},"tableIndex":-1,"rowIndex":97,"cellIndex":2,"fontSize":12,"issueTypeId":"SmallFontSizeIssue:XLSX","dismiss":false,"pageNumbers":[1],"coordinatesList":[[10.0,10.0,2.0,2.0]]},{"pageNumber":0,"geomIndex":8472,"lastGeomIndex":8476,"textElement":"1645","identifiers":{"ELEMENT_INDICES":"1"},"tableIndex":-1,"rowIndex":97,"cellIndex":3,"fontSize":12,"issueTypeId":"SmallFontSizeIssue:XLSX","dismiss":false,"pageNumbers":[1],"coordinatesList":[[10.0,10.0,2.0,2.0]]},{"pageNumber":0,"geomIndex":8476,"lastGeomIndex":8479,"textElement":"150","identifiers":{"ELEMENT_INDICES":"1"},"tableIndex":-1,"rowIndex":97,"cellIndex":4,"fontSize":12,"issueTypeId":"SmallFontSizeIssue:XLSX","dismiss":false,"pageNumbers":[1],"coordinatesList":[[10.0,10.0,2.0,2.0]]},{"pageNumber":0,"geomIndex":8479,"lastGeomIndex":8482,"textElement":"180","identifiers":{"ELEMENT_INDICES":"1"},"tableIndex":-1,"rowIndex":97,"cellIndex":5,"fontSize":12,"issueTypeId":"SmallFontSizeIssue:XLSX","dismiss":false,"pageNumbers":[1],"coordinatesList":[[10.0,10.0,2.0,2.0]]},{"pageNumber":0,"geomIndex":8483,"lastGeomIndex":8486,"textElement":"178","identifiers":{"ELEMENT_INDICES":"1"},"tableIndex":-1,"rowIndex":97,"cellIndex":7,"fontSize":12,"issueTypeId":"SmallFontSizeIssue:XLSX","dismiss":false,"pageNumbers":[1],"coordinatesList":[[10.0,10.0,2.0,2.0]]},{"pageNumber":0,"geomIndex":8486,"lastGeomIndex":8491,"textElement":"32646","identifiers":{"ELEMENT_INDICES":"1"},"tableIndex":-1,"rowIndex":97,"cellIndex":8,"fontSize":12,"issueTypeId":"SmallFontSizeIssue:XLSX","dismiss":false,"pageNumbers":[1],"coordinatesList":[[10.0,10.0,2.0,2.0]]},{"pageNumber":0,"geomIndex":8491,"lastGeomIndex":8496,"textElement":"Japan","identifiers":{"ELEMENT_INDICES":"1"},"tableIndex":-1,"rowIndex":97,"cellIndex":9,"fontSize":12,"issueTypeId":"SmallFontSizeIssue:XLSX","dismiss":false,"pageNumbers":[1],"coordinatesList":[[10.0,10.0,2.0,2.0]]},{"pageNumber":0,"geomIndex":8496,"lastGeomIndex":8500,"textElement":"Asia","identifiers":{"ELEMENT_INDICES":"1"},"tableIndex":-1,"rowIndex":97,"cellIndex":10,"fontSize":12,"issueTypeId":"SmallFontSizeIssue:XLSX","dismiss":false,"pageNumbers":[1],"coordinatesList":[[10.0,10.0,2.0,2.0]]},{"pageNumber":0,"geomIndex":8503,"lastGeomIndex":8522,"textElement":"Niro EV (2022 Edition)","identifiers":{"ELEMENT_INDICES":"1"},"tableIndex":-1,"rowIndex":98,"cellIndex":1,"fontSize":12,"issueTypeId":"SmallFontSizeIssue:XLSX","dismiss":false,"pageNumbers":[1],"coordinatesList":[[10.0,10.0,2.0,2.0]]},{"pageNumber":0,"geomIndex":8522,"lastGeomIndex":8526,"textElement":"2022","identifiers":{"ELEMENT_INDICES":"1"},"tableIndex":-1,"rowIndex":98,"cellIndex":2,"fontSize":12,"issueTypeId":"SmallFontSizeIssue:XLSX","dismiss":false,"pageNumbers":[1],"coordinatesList":[[344.15399169921875,305.17930579185486,22.260009765625,10.998000144958496]]},{"pageNumber":0,"geomIndex":8526,"lastGeomIndex":8530,"textElement":"1812","identifiers":{"ELEMENT_INDICES":"1"},"tableIndex":-1,"rowIndex":98,"cellIndex":3,"fontSize":12,"issueTypeId":"SmallFontSizeIssue:XLSX","dismiss":false,"pageNumbers":[1],"coordinatesList":[[393.1369934082031,515.1132962703705,22.260009765625,10.998000144958496]]},{"pageNumber":0,"geomIndex":8530,"lastGeomIndex":8533,"textElement":"167","identifiers":{"ELEMENT_INDICES":"1"},"tableIndex":-1,"rowIndex":98,"cellIndex":4,"fontSize":12,"issueTypeId":"SmallFontSizeIssue:XLSX","dismiss":false,"pageNumbers":[1],"coordinatesList":[[447.7040100097656,515.1132962703705,16.69500732421875,10.998000144958496]]},{"pageNumber":0,"geomIndex":8533,"lastGeomIndex":8536,"textElement":"463","identifiers":{"ELEMENT_INDICES":"1"},"tableIndex":-1,"rowIndex":98,"cellIndex":5,"fontSize":12,"issueTypeId":"SmallFontSizeIssue:XLSX","dismiss":false,"pageNumbers":[1],"coordinatesList":[[10.0,10.0,2.0,2.0]]},{"pageNumber":0,"geomIndex":8536,"lastGeomIndex":8539,"textElement":"7.8","identifiers":{"ELEMENT_INDICES":"1"},"tableIndex":-1,"rowIndex":98,"cellIndex":6,"fontSize":12,"issueTypeId":"SmallFontSizeIssue:XLSX","dismiss":false,"pageNumbers":[1],"coordinatesList":[[10.0,10.0,2.0,2.0]]},{"pageNumber":0,"geomIndex":8539,"lastGeomIndex":8542,"textElement":"159","identifiers":{"ELEMENT_INDICES":"1"},"tableIndex":-1,"rowIndex":98,"cellIndex":7,"fontSize":12,"issueTypeId":"SmallFontSizeIssue:XLSX","dismiss":false,"pageNumbers":[1],"coordinatesList":[[10.0,10.0,2.0,2.0]]},{"pageNumber":0,"geomIndex":8542,"lastGeomIndex":8547,"textElement":"42000","identifiers":{"ELEMENT_INDICES":"1"},"tableIndex":-1,"rowIndex":98,"cellIndex":8,"fontSize":12,"issueTypeId":"SmallFontSizeIssue:XLSX","dismiss":false,"pageNumbers":[1],"coordinatesList":[[10.0,10.0,2.0,2.0]]},{"pageNumber":0,"geomIndex":8547,"lastGeomIndex":8557,"textElement":"South Korea","identifiers":{"ELEMENT_INDICES":"1"},"tableIndex":-1,"rowIndex":98,"cellIndex":9,"fontSize":12,"issueTypeId":"SmallFontSizeIssue:XLSX","dismiss":false,"pageNumbers":[1],"coordinatesList":[[10.0,10.0,2.0,2.0]]},{"pageNumber":0,"geomIndex":8557,"lastGeomIndex":8561,"textElement":"Asia","identifiers":{"ELEMENT_INDICES":"1"},"tableIndex":-1,"rowIndex":98,"cellIndex":10,"fontSize":12,"issueTypeId":"SmallFontSizeIssue:XLSX","dismiss":false,"pageNumbers":[1],"coordinatesList":[[10.0,10.0,2.0,2.0]]},{"pageNumber":0,"geomIndex":8561,"lastGeomIndex":8570,"textElement":"Lightyear","identifiers":{"ELEMENT_INDICES":"1"},"tableIndex":-1,"rowIndex":99,"cellIndex":0,"fontSize":12,"issueTypeId":"SmallFontSizeIssue:XLSX","dismiss":false,"pageNumbers":[1],"coordinatesList":[[10.0,10.0,2.0,2.0]]},{"pageNumber":0,"geomIndex":8570,"lastGeomIndex":8573,"textElement":"One","identifiers":{"ELEMENT_INDICES":"1"},"tableIndex":-1,"rowIndex":99,"cellIndex":1,"fontSize":12,"issueTypeId":"SmallFontSizeIssue:XLSX","dismiss":false,"pageNumbers":[1],"coordinatesList":[[10.0,10.0,2.0,2.0]]},{"pageNumber":0,"geomIndex":8573,"lastGeomIndex":8577,"textElement":"2024","identifiers":{"ELEMENT_INDICES":"1"},"tableIndex":-1,"rowIndex":99,"cellIndex":2,"fontSize":12,"issueTypeId":"SmallFontSizeIssue:XLSX","dismiss":false,"pageNumbers":[1],"coordinatesList":[[344.15399169921875,395.15132117271423,22.260009765625,10.998000144958496]]},{"pageNumber":0,"geomIndex":8577,"lastGeomIndex":8581,"textElement":"1575","identifiers":{"ELEMENT_INDICES":"1"},"tableIndex":-1,"rowIndex":99,"cellIndex":3,"fontSize":12,"issueTypeId":"SmallFontSizeIssue:XLSX","dismiss":false,"pageNumbers":[1],"coordinatesList":[[10.0,10.0,2.0,2.0]]},{"pageNumber":0,"geomIndex":8581,"lastGeomIndex":8584,"textElement":"150","identifiers":{"ELEMENT_INDICES":"1"},"tableIndex":-1,"rowIndex":99,"cellIndex":4,"fontSize":12,"issueTypeId":"SmallFontSizeIssue:XLSX","dismiss":false,"pageNumbers":[1],"coordinatesList":[[447.7040100097656,440.13630652427673,16.69500732421875,10.998000144958496]]},{"pageNumber":0,"geomIndex":8584,"lastGeomIndex":8587,"textElement":"575","identifiers":{"ELEMENT_INDICES":"1"},"tableIndex":-1,"rowIndex":99,"cellIndex":5,"fontSize":12,"issueTypeId":"SmallFontSizeIssue:XLSX","dismiss":false,"pageNumbers":[1],"coordinatesList":[[10.0,10.0,2.0,2.0]]},{"pageNumber":0,"geomIndex":8587,"lastGeomIndex":8589,"textElement":"10","identifiers":{"ELEMENT_INDICES":"1"},"tableIndex":-1,"rowIndex":99,"cellIndex":6,"fontSize":12,"issueTypeId":"SmallFontSizeIssue:XLSX","dismiss":false,"pageNumbers":[1],"coordinatesList":[[453.2690124511719,395.15132117271423,11.1300048828125,10.998000144958496]]},{"pageNumber":0,"geomIndex":8589,"lastGeomIndex":8592,"textElement":"104","identifiers":{"ELEMENT_INDICES":"1"},"tableIndex":-1,"rowIndex":99,"cellIndex":7,"fontSize":12,"issueTypeId":"SmallFontSizeIssue:XLSX","dismiss":false,"pageNumbers":[1],"coordinatesList":[[453.2690124511719,95.24528479576111,56.3809814453125,10.998000144958496]]},{"pageNumber":0,"geomIndex":8592,"lastGeomIndex":8598,"textElement":"149000","identifiers":{"ELEMENT_INDICES":"1"},"tableIndex":-1,"rowIndex":99,"cellIndex":8,"fontSize":12,"issueTypeId":"SmallFontSizeIssue:XLSX","dismiss":false,"pageNumbers":[1],"coordinatesList":[[10.0,10.0,2.0,2.0]]},{"pageNumber":0,"geomIndex":8598,"lastGeomIndex":8608,"textElement":"Netherland","identifiers":{"ELEMENT_INDICES":"1"},"tableIndex":-1,"rowIndex":99,"cellIndex":9,"fontSize":12,"issueTypeId":"SmallFontSizeIssue:XLSX","dismiss":false,"pageNumbers":[1],"coordinatesList":[[10.0,10.0,2.0,2.0]]},{"pageNumber":0,"geomIndex":8608,"lastGeomIndex":8614,"textElement":"Europe","identifiers":{"ELEMENT_INDICES":"1"},"tableIndex":-1,"rowIndex":99,"cellIndex":10,"fontSize":12,"issueTypeId":"SmallFontSizeIssue:XLSX","dismiss":false,"pageNumbers":[1],"coordinatesList":[[10.0,10.0,2.0,2.0]]},{"pageNumber":0,"geomIndex":8614,"lastGeomIndex":8618,"textElement":"Audi","identifiers":{"ELEMENT_INDICES":"1"},"tableIndex":-1,"rowIndex":100,"cellIndex":0,"fontSize":12,"issueTypeId":"SmallFontSizeIssue:XLSX","dismiss":false,"pageNumbers":[1],"coordinatesList":[[54.992000579833984,575.0943143367767,20.423282623291016,10.998000144958496]]},{"pageNumber":0,"geomIndex":8618,"lastGeomIndex":8626,"textElement":"Q4 e-tron","identifiers":{"ELEMENT_INDICES":"1"},"tableIndex":-1,"rowIndex":100,"cellIndex":1,"fontSize":12,"issueTypeId":"SmallFontSizeIssue:XLSX","dismiss":false,"pageNumbers":[1],"coordinatesList":[[10.0,10.0,2.0,2.0]]},{"pageNumber":0,"geomIndex":8626,"lastGeomIndex":8672,"textElement":"_xlfn.XLOOKUP($B101,Sheet2!$B:$B,Sheet2!$C:$C)","identifiers":{"ELEMENT_INDICES":"1"},"tableIndex":-1,"rowIndex":100,"cellIndex":2,"fontSize":12,"issueTypeId":"SmallFontSizeIssue:XLSX","dismiss":false,"pageNumbers":[1],"coordinatesList":[[10.0,10.0,2.0,2.0]]},{"pageNumber":0,"geomIndex":8672,"lastGeomIndex":8676,"textElement":"2135","identifiers":{"ELEMENT_INDICES":"1"},"tableIndex":-1,"rowIndex":100,"cellIndex":3,"fontSize":12,"issueTypeId":"SmallFontSizeIssue:XLSX","dismiss":false,"pageNumbers":[1],"coordinatesList":[[393.1369934082031,230.2032926082611,22.260009765625,10.998000144958496]]},{"pageNumber":0,"geomIndex":8676,"lastGeomIndex":8679,"textElement":"180","identifiers":{"ELEMENT_INDICES":"1"},"tableIndex":-1,"rowIndex":100,"cellIndex":4,"fontSize":12,"issueTypeId":"SmallFontSizeIssue:XLSX","dismiss":false,"pageNumbers":[1],"coordinatesList":[[447.7040100097656,380.1553189754486,16.69500732421875,10.998000144958496]]},{"pageNumber":0,"geomIndex":8679,"lastGeomIndex":8682,"textElement":"400","identifiers":{"ELEMENT_INDICES":"1"},"tableIndex":-1,"rowIndex":100,"cellIndex":5,"fontSize":12,"issueTypeId":"SmallFontSizeIssue:XLSX","dismiss":false,"pageNumbers":[1],"coordinatesList":[[504.0849914550781,275.1882779598236,16.694976806640625,10.998000144958496]]},{"pageNumber":0,"geomIndex":8682,"lastGeomIndex":8685,"textElement":"6.3","identifiers":{"ELEMENT_INDICES":"1"},"tableIndex":-1,"rowIndex":100,"cellIndex":6,"fontSize":12,"issueTypeId":"SmallFontSizeIssue:XLSX","dismiss":false,"pageNumbers":[1],"coordinatesList":[[10.0,10.0,2.0,2.0]]},{"pageNumber":0,"geomIndex":8685,"lastGeomIndex":8688,"textElement":"193","identifiers":{"ELEMENT_INDICES":"1"},"tableIndex":-1,"rowIndex":100,"cellIndex":7,"fontSize":12,"issueTypeId":"SmallFontSizeIssue:XLSX","dismiss":false,"pageNumbers":[1],"coordinatesList":[[10.0,10.0,2.0,2.0]]},{"pageNumber":0,"geomIndex":8688,"lastGeomIndex":8693,"textElement":"55000","identifiers":{"ELEMENT_INDICES":"1"},"tableIndex":-1,"rowIndex":100,"cellIndex":8,"fontSize":12,"issueTypeId":"SmallFontSizeIssue:XLSX","dismiss":false,"pageNumbers":[1],"coordinatesList":[[10.0,10.0,2.0,2.0]]},{"pageNumber":0,"geomIndex":8693,"lastGeomIndex":8700,"textElement":"Germany","identifiers":{"ELEMENT_INDICES":"1"},"tableIndex":-1,"rowIndex":100,"cellIndex":9,"fontSize":12,"issueTypeId":"SmallFontSizeIssue:XLSX","dismiss":false,"pageNumbers":[1],"coordinatesList":[[10.0,10.0,2.0,2.0]]},{"pageNumber":0,"geomIndex":8700,"lastGeomIndex":8706,"textElement":"Europe","identifiers":{"ELEMENT_INDICES":"1"},"tableIndex":-1,"rowIndex":100,"cellIndex":10,"fontSize":12,"issueTypeId":"SmallFontSizeIssue:XLSX","dismiss":false,"pageNumbers":[1],"coordinatesList":[[10.0,10.0,2.0,2.0]]},{"pageNumber":0,"geomIndex":8706,"lastGeomIndex":8710,"textElement":"Audi","identifiers":{"ELEMENT_INDICES":"1"},"tableIndex":-1,"rowIndex":101,"cellIndex":0,"fontSize":12,"issueTypeId":"SmallFontSizeIssue:XLSX","dismiss":false,"pageNumbers":[1],"coordinatesList":[[54.992000579833984,575.0943143367767,20.423282623291016,10.998000144958496]]},{"pageNumber":0,"geomIndex":8710,"lastGeomIndex":8727,"textElement":"Q4 Sportback e-tron","identifiers":{"ELEMENT_INDICES":"1"},"tableIndex":-1,"rowIndex":101,"cellIndex":1,"fontSize":12,"issueTypeId":"SmallFontSizeIssue:XLSX","dismiss":false,"pageNumbers":[1],"coordinatesList":[[10.0,10.0,2.0,2.0]]},{"pageNumber":0,"geomIndex":8727,"lastGeomIndex":8773,"textElement":"_xlfn.XLOOKUP($B102,Sheet2!$B:$B,Sheet2!$C:$C)","identifiers":{"ELEMENT_INDICES":"1"},"tableIndex":-1,"rowIndex":101,"cellIndex":2,"fontSize":12,"issueTypeId":"SmallFontSizeIssue:XLSX","dismiss":false,"pageNumbers":[1],"coordinatesList":[[10.0,10.0,2.0,2.0]]},{"pageNumber":0,"geomIndex":8773,"lastGeomIndex":8777,"textElement":"2135","identifiers":{"ELEMENT_INDICES":"1"},"tableIndex":-1,"rowIndex":101,"cellIndex":3,"fontSize":12,"issueTypeId":"SmallFontSizeIssue:XLSX","dismiss":false,"pageNumbers":[1],"coordinatesList":[[393.1369934082031,230.2032926082611,22.260009765625,10.998000144958496]]},{"pageNumber":0,"geomIndex":8777,"lastGeomIndex":8780,"textElement":"180","identifiers":{"ELEMENT_INDICES":"1"},"tableIndex":-1,"rowIndex":101,"cellIndex":4,"fontSize":12,"issueTypeId":"SmallFontSizeIssue:XLSX","dismiss":false,"pageNumbers":[1],"coordinatesList":[[447.7040100097656,380.1553189754486,16.69500732421875,10.998000144958496]]},{"pageNumber":0,"geomIndex":8780,"lastGeomIndex":8783,"textElement":"410","identifiers":{"ELEMENT_INDICES":"1"},"tableIndex":-1,"rowIndex":101,"cellIndex":5,"fontSize":12,"issueTypeId":"SmallFontSizeIssue:XLSX","dismiss":false,"pageNumbers":[1],"coordinatesList":[[10.0,10.0,2.0,2.0]]},{"pageNumber":0,"geomIndex":8783,"lastGeomIndex":8786,"textElement":"6.3","identifiers":{"ELEMENT_INDICES":"1"},"tableIndex":-1,"rowIndex":101,"cellIndex":6,"fontSize":12,"issueTypeId":"SmallFontSizeIssue:XLSX","dismiss":false,"pageNumbers":[1],"coordinatesList":[[10.0,10.0,2.0,2.0]]},{"pageNumber":0,"geomIndex":8786,"lastGeomIndex":8789,"textElement":"188","identifiers":{"ELEMENT_INDICES":"1"},"tableIndex":-1,"rowIndex":101,"cellIndex":7,"fontSize":12,"issueTypeId":"SmallFontSizeIssue:XLSX","dismiss":false,"pageNumbers":[1],"coordinatesList":[[10.0,10.0,2.0,2.0]]},{"pageNumber":0,"geomIndex":8789,"lastGeomIndex":8794,"textElement":"57500","identifiers":{"ELEMENT_INDICES":"1"},"tableIndex":-1,"rowIndex":101,"cellIndex":8,"fontSize":12,"issueTypeId":"SmallFontSizeIssue:XLSX","dismiss":false,"pageNumbers":[1],"coordinatesList":[[10.0,10.0,2.0,2.0]]},{"pageNumber":0,"geomIndex":8794,"lastGeomIndex":8801,"textElement":"Germany","identifiers":{"ELEMENT_INDICES":"1"},"tableIndex":-1,"rowIndex":101,"cellIndex":9,"fontSize":12,"issueTypeId":"SmallFontSizeIssue:XLSX","dismiss":false,"pageNumbers":[1],"coordinatesList":[[10.0,10.0,2.0,2.0]]},{"pageNumber":0,"geomIndex":8801,"lastGeomIndex":8807,"textElement":"Europe","identifiers":{"ELEMENT_INDICES":"1"},"tableIndex":-1,"rowIndex":101,"cellIndex":10,"fontSize":12,"issueTypeId":"SmallFontSizeIssue:XLSX","dismiss":false,"pageNumbers":[1],"coordinatesList":[[10.0,10.0,2.0,2.0]]},{"pageNumber":0,"geomIndex":8807,"lastGeomIndex":8813,"textElement":"Rivian","identifiers":{"ELEMENT_INDICES":"1"},"tableIndex":-1,"rowIndex":102,"cellIndex":0,"fontSize":12,"issueTypeId":"SmallFontSizeIssue:XLSX","dismiss":false,"pageNumbers":[1],"coordinatesList":[[10.0,10.0,2.0,2.0]]},{"pageNumber":0,"geomIndex":8813,"lastGeomIndex":8816,"textElement":"R1S","identifiers":{"ELEMENT_INDICES":"1"},"tableIndex":-1,"rowIndex":102,"cellIndex":1,"fontSize":12,"issueTypeId":"SmallFontSizeIssue:XLSX","dismiss":false,"pageNumbers":[1],"coordinatesList":[[10.0,10.0,2.0,2.0]]},{"pageNumber":0,"geomIndex":8816,"lastGeomIndex":8820,"textElement":"2022","identifiers":{"ELEMENT_INDICES":"1"},"tableIndex":-1,"rowIndex":102,"cellIndex":2,"fontSize":12,"issueTypeId":"SmallFontSizeIssue:XLSX","dismiss":false,"pageNumbers":[1],"coordinatesList":[[344.15399169921875,305.17930579185486,22.260009765625,10.998000144958496]]},{"pageNumber":0,"geomIndex":8820,"lastGeomIndex":8824,"textElement":"3180","identifiers":{"ELEMENT_INDICES":"1"},"tableIndex":-1,"rowIndex":102,"cellIndex":3,"fontSize":12,"issueTypeId":"SmallFontSizeIssue:XLSX","dismiss":false,"pageNumbers":[1],"coordinatesList":[[10.0,10.0,2.0,2.0]]},{"pageNumber":0,"geomIndex":8824,"lastGeomIndex":8827,"textElement":"200","identifiers":{"ELEMENT_INDICES":"1"},"tableIndex":-1,"rowIndex":102,"cellIndex":4,"fontSize":12,"issueTypeId":"SmallFontSizeIssue:XLSX","dismiss":false,"pageNumbers":[1],"coordinatesList":[[112.80638885498047,440.13630652427673,16.694969177246094,10.998000144958496]]},{"pageNumber":0,"geomIndex":8827,"lastGeomIndex":8830,"textElement":"514","identifiers":{"ELEMENT_INDICES":"1"},"tableIndex":-1,"rowIndex":102,"cellIndex":5,"fontSize":12,"issueTypeId":"SmallFontSizeIssue:XLSX","dismiss":false,"pageNumbers":[1],"coordinatesList":[[398.7019958496094,410.14631628990173,16.69500732421875,10.998000144958496]]},{"pageNumber":0,"geomIndex":8830,"lastGeomIndex":8831,"textElement":"3","identifiers":{"ELEMENT_INDICES":"1"},"tableIndex":-1,"rowIndex":102,"cellIndex":6,"fontSize":12,"issueTypeId":"SmallFontSizeIssue:XLSX","dismiss":false,"pageNumbers":[1],"coordinatesList":[[409.8320007324219,425.14131140708923,5.56500244140625,10.998000144958496]]},{"pageNumber":0,"geomIndex":8831,"lastGeomIndex":8834,"textElement":"270","identifiers":{"ELEMENT_INDICES":"1"},"tableIndex":-1,"rowIndex":102,"cellIndex":7,"fontSize":12,"issueTypeId":"SmallFontSizeIssue:XLSX","dismiss":false,"pageNumbers":[1],"coordinatesList":[[10.0,10.0,2.0,2.0]]},{"pageNumber":0,"geomIndex":8834,"lastGeomIndex":8839,"textElement":"72000","identifiers":{"ELEMENT_INDICES":"1"},"tableIndex":-1,"rowIndex":102,"cellIndex":8,"fontSize":12,"issueTypeId":"SmallFontSizeIssue:XLSX","dismiss":false,"pageNumbers":[1],"coordinatesList":[[10.0,10.0,2.0,2.0]]},{"pageNumber":0,"geomIndex":8839,"lastGeomIndex":8842,"textElement":"USA","identifiers":{"ELEMENT_INDICES":"1"},"tableIndex":-1,"rowIndex":102,"cellIndex":9,"fontSize":12,"issueTypeId":"SmallFontSizeIssue:XLSX","dismiss":false,"pageNumbers":[1],"coordinatesList":[[10.0,10.0,2.0,2.0]]},{"pageNumber":0,"geomIndex":8842,"lastGeomIndex":8849,"textElement":"America","identifiers":{"ELEMENT_INDICES":"1"},"tableIndex":-1,"rowIndex":102,"cellIndex":10,"fontSize":12,"issueTypeId":"SmallFontSizeIssue:XLSX","dismiss":false,"pageNumbers":[1],"coordinatesList":[[10.0,10.0,2.0,2.0]]},{"pageNumber":0,"geomIndex":8849,"lastGeomIndex":8854,"textElement":"Tesla","identifiers":{"ELEMENT_INDICES":"1"},"tableIndex":-1,"rowIndex":103,"cellIndex":0,"fontSize":12,"issueTypeId":"SmallFontSizeIssue:XLSX","dismiss":false,"pageNumbers":[1],"coordinatesList":[[54.992000579833984,395.15132117271423,22.908832550048828,10.998000144958496]]},{"pageNumber":0,"geomIndex":8854,"lastGeomIndex":8862,"textElement":"Roadster","identifiers":{"ELEMENT_INDICES":"1"},"tableIndex":-1,"rowIndex":103,"cellIndex":1,"fontSize":12,"issueTypeId":"SmallFontSizeIssue:XLSX","dismiss":false,"pageNumbers":[1],"coordinatesList":[[10.0,10.0,2.0,2.0]]},{"pageNumber":0,"geomIndex":8862,"lastGeomIndex":8866,"textElement":"2024","identifiers":{"ELEMENT_INDICES":"1"},"tableIndex":-1,"rowIndex":103,"cellIndex":2,"fontSize":12,"issueTypeId":"SmallFontSizeIssue:XLSX","dismiss":false,"pageNumbers":[1],"coordinatesList":[[344.15399169921875,395.15132117271423,22.260009765625,10.998000144958496]]},{"pageNumber":0,"geomIndex":8866,"lastGeomIndex":8870,"textElement":"1975","identifiers":{"ELEMENT_INDICES":"1"},"tableIndex":-1,"rowIndex":103,"cellIndex":3,"fontSize":12,"issueTypeId":"SmallFontSizeIssue:XLSX","dismiss":false,"pageNumbers":[1],"coordinatesList":[[10.0,10.0,2.0,2.0]]},{"pageNumber":0,"geomIndex":8870,"lastGeomIndex":8873,"textElement":"410","identifiers":{"ELEMENT_INDICES":"1"},"tableIndex":-1,"rowIndex":103,"cellIndex":4,"fontSize":12,"issueTypeId":"SmallFontSizeIssue:XLSX","dismiss":false,"pageNumbers":[1],"coordinatesList":[[10.0,10.0,2.0,2.0]]},{"pageNumber":0,"geomIndex":8873,"lastGeomIndex":8876,"textElement":"970","identifiers":{"ELEMENT_INDICES":"1"},"tableIndex":-1,"rowIndex":103,"cellIndex":5,"fontSize":12,"issueTypeId":"SmallFontSizeIssue:XLSX","dismiss":false,"pageNumbers":[1],"coordinatesList":[[10.0,10.0,2.0,2.0]]},{"pageNumber":0,"geomIndex":8876,"lastGeomIndex":8879,"textElement":"2.1","identifiers":{"ELEMENT_INDICES":"1"},"tableIndex":-1,"rowIndex":103,"cellIndex":6,"fontSize":12,"issueTypeId":"SmallFontSizeIssue:XLSX","dismiss":false,"pageNumbers":[1],"coordinatesList":[[10.0,10.0,2.0,2.0]]},{"pageNumber":0,"geomIndex":8879,"lastGeomIndex":8882,"textElement":"206","identifiers":{"ELEMENT_INDICES":"1"},"tableIndex":-1,"rowIndex":103,"cellIndex":7,"fontSize":12,"issueTypeId":"SmallFontSizeIssue:XLSX","dismiss":false,"pageNumbers":[1],"coordinatesList":[[10.0,10.0,2.0,2.0]]},{"pageNumber":0,"geomIndex":8882,"lastGeomIndex":8888,"textElement":"215000","identifiers":{"ELEMENT_INDICES":"1"},"tableIndex":-1,"rowIndex":103,"cellIndex":8,"fontSize":12,"issueTypeId":"SmallFontSizeIssue:XLSX","dismiss":false,"pageNumbers":[1],"coordinatesList":[[10.0,10.0,2.0,2.0]]},{"pageNumber":0,"geomIndex":8888,"lastGeomIndex":8891,"textElement":"USA","identifiers":{"ELEMENT_INDICES":"1"},"tableIndex":-1,"rowIndex":103,"cellIndex":9,"fontSize":12,"issueTypeId":"SmallFontSizeIssue:XLSX","dismiss":false,"pageNumbers":[1],"coordinatesList":[[10.0,10.0,2.0,2.0]]},{"pageNumber":0,"geomIndex":8891,"lastGeomIndex":8898,"textElement":"America","identifiers":{"ELEMENT_INDICES":"1"},"tableIndex":-1,"rowIndex":103,"cellIndex":10,"fontSize":12,"issueTypeId":"SmallFontSizeIssue:XLSX","dismiss":false,"pageNumbers":[1],"coordinatesList":[[10.0,10.0,2.0,2.0]]},{"pageNumber":0,"geomIndex":8898,"lastGeomIndex":8902,"textElement":"Sono","identifiers":{"ELEMENT_INDICES":"1"},"tableIndex":-1,"rowIndex":104,"cellIndex":0,"fontSize":12,"issueTypeId":"SmallFontSizeIssue:XLSX","dismiss":false,"pageNumbers":[1],"coordinatesList":[[10.0,10.0,2.0,2.0]]},{"pageNumber":0,"geomIndex":8902,"lastGeomIndex":8906,"textElement":"Sion","identifiers":{"ELEMENT_INDICES":"1"},"tableIndex":-1,"rowIndex":104,"cellIndex":1,"fontSize":12,"issueTypeId":"SmallFontSizeIssue:XLSX","dismiss":false,"pageNumbers":[1],"coordinatesList":[[10.0,10.0,2.0,2.0]]},{"pageNumber":0,"geomIndex":8906,"lastGeomIndex":8952,"textElement":"_xlfn.XLOOKUP($B105,Sheet2!$B:$B,Sheet2!$C:$C)","identifiers":{"ELEMENT_INDICES":"1"},"tableIndex":-1,"rowIndex":104,"cellIndex":2,"fontSize":12,"issueTypeId":"SmallFontSizeIssue:XLSX","dismiss":false,"pageNumbers":[1],"coordinatesList":[[10.0,10.0,2.0,2.0]]},{"pageNumber":0,"geomIndex":8952,"lastGeomIndex":8956,"textElement":"1730","identifiers":{"ELEMENT_INDICES":"1"},"tableIndex":-1,"rowIndex":104,"cellIndex":3,"fontSize":12,"issueTypeId":"SmallFontSizeIssue:XLSX","dismiss":false,"pageNumbers":[1],"coordinatesList":[[10.0,10.0,2.0,2.0]]},{"pageNumber":0,"geomIndex":8956,"lastGeomIndex":8959,"textElement":"140","identifiers":{"ELEMENT_INDICES":"1"},"tableIndex":-1,"rowIndex":104,"cellIndex":4,"fontSize":12,"issueTypeId":"SmallFontSizeIssue:XLSX","dismiss":false,"pageNumbers":[1],"coordinatesList":[[10.0,10.0,2.0,2.0]]},{"pageNumber":0,"geomIndex":8959,"lastGeomIndex":8962,"textElement":"225","identifiers":{"ELEMENT_INDICES":"1"},"tableIndex":-1,"rowIndex":104,"cellIndex":5,"fontSize":12,"issueTypeId":"SmallFontSizeIssue:XLSX","dismiss":false,"pageNumbers":[1],"coordinatesList":[[10.0,10.0,2.0,2.0]]},{"pageNumber":0,"geomIndex":8962,"lastGeomIndex":8963,"textElement":"9","identifiers":{"ELEMENT_INDICES":"1"},"tableIndex":-1,"rowIndex":104,"cellIndex":6,"fontSize":12,"issueTypeId":"SmallFontSizeIssue:XLSX","dismiss":false,"pageNumbers":[1],"coordinatesList":[[509.6499938964844,380.1553189754486,5.564971923828125,10.998000144958496]]},{"pageNumber":0,"geomIndex":8963,"lastGeomIndex":8966,"textElement":"156","identifiers":{"ELEMENT_INDICES":"1"},"tableIndex":-1,"rowIndex":104,"cellIndex":7,"fontSize":12,"issueTypeId":"SmallFontSizeIssue:XLSX","dismiss":false,"pageNumbers":[1],"coordinatesList":[[10.0,10.0,2.0,2.0]]},{"pageNumber":0,"geomIndex":8966,"lastGeomIndex":8971,"textElement":"25500","identifiers":{"ELEMENT_INDICES":"1"},"tableIndex":-1,"rowIndex":104,"cellIndex":8,"fontSize":12,"issueTypeId":"SmallFontSizeIssue:XLSX","dismiss":false,"pageNumbers":[1],"coordinatesList":[[10.0,10.0,2.0,2.0]]},{"pageNumber":0,"geomIndex":8971,"lastGeomIndex":8978,"textElement":"Germany","identifiers":{"ELEMENT_INDICES":"1"},"tableIndex":-1,"rowIndex":104,"cellIndex":9,"fontSize":12,"issueTypeId":"SmallFontSizeIssue:XLSX","dismiss":false,"pageNumbers":[1],"coordinatesList":[[10.0,10.0,2.0,2.0]]},{"pageNumber":0,"geomIndex":8978,"lastGeomIndex":8984,"textElement":"Europe","identifiers":{"ELEMENT_INDICES":"1"},"tableIndex":-1,"rowIndex":104,"cellIndex":10,"fontSize":12,"issueTypeId":"SmallFontSizeIssue:XLSX","dismiss":false,"pageNumbers":[1],"coordinatesList":[[10.0,10.0,2.0,2.0]]},{"pageNumber":0,"geomIndex":8984,"lastGeomIndex":8990,"textElement":"Subaru","identifiers":{"ELEMENT_INDICES":"1"},"tableIndex":-1,"rowIndex":105,"cellIndex":0,"fontSize":12,"issueTypeId":"SmallFontSizeIssue:XLSX","dismiss":false,"pageNumbers":[1],"coordinatesList":[[10.0,10.0,2.0,2.0]]},{"pageNumber":0,"geomIndex":8990,"lastGeomIndex":8998,"textElement":"Solterra","identifiers":{"ELEMENT_INDICES":"1"},"tableIndex":-1,"rowIndex":105,"cellIndex":1,"fontSize":12,"issueTypeId":"SmallFontSizeIssue:XLSX","dismiss":false,"pageNumbers":[1],"coordinatesList":[[10.0,10.0,2.0,2.0]]},{"pageNumber":0,"geomIndex":8998,"lastGeomIndex":9002,"textElement":"2022","identifiers":{"ELEMENT_INDICES":"1"},"tableIndex":-1,"rowIndex":105,"cellIndex":2,"fontSize":12,"issueTypeId":"SmallFontSizeIssue:XLSX","dismiss":false,"pageNumbers":[1],"coordinatesList":[[344.15399169921875,305.17930579185486,22.260009765625,10.998000144958496]]},{"pageNumber":0,"geomIndex":9002,"lastGeomIndex":9006,"textElement":"2020","identifiers":{"ELEMENT_INDICES":"1"},"tableIndex":-1,"rowIndex":105,"cellIndex":3,"fontSize":12,"issueTypeId":"SmallFontSizeIssue:XLSX","dismiss":false,"pageNumbers":[1],"coordinatesList":[[344.15399169921875,410.14631628990173,22.260009765625,10.998000144958496]]},{"pageNumber":0,"geomIndex":9006,"lastGeomIndex":9009,"textElement":"160","identifiers":{"ELEMENT_INDICES":"1"},"tableIndex":-1,"rowIndex":105,"cellIndex":4,"fontSize":12,"issueTypeId":"SmallFontSizeIssue:XLSX","dismiss":false,"pageNumbers":[1],"coordinatesList":[[447.7040100097656,305.17930579185486,16.69500732421875,10.998000144958496]]},{"pageNumber":0,"geomIndex":9009,"lastGeomIndex":9012,"textElement":"460","identifiers":{"ELEMENT_INDICES":"1"},"tableIndex":-1,"rowIndex":105,"cellIndex":5,"fontSize":12,"issueTypeId":"SmallFontSizeIssue:XLSX","dismiss":false,"pageNumbers":[1],"coordinatesList":[[504.0849914550781,365.160293340683,16.694976806640625,10.998000144958496]]},{"pageNumber":0,"geomIndex":9012,"lastGeomIndex":9015,"textElement":"7.4","identifiers":{"ELEMENT_INDICES":"1"},"tableIndex":-1,"rowIndex":105,"cellIndex":6,"fontSize":12,"issueTypeId":"SmallFontSizeIssue:XLSX","dismiss":false,"pageNumbers":[1],"coordinatesList":[[10.0,10.0,2.0,2.0]]},{"pageNumber":0,"geomIndex":9015,"lastGeomIndex":9018,"textElement":"180","identifiers":{"ELEMENT_INDICES":"1"},"tableIndex":-1,"rowIndex":105,"cellIndex":7,"fontSize":12,"issueTypeId":"SmallFontSizeIssue:XLSX","dismiss":false,"pageNumbers":[1],"coordinatesList":[[447.7040100097656,380.1553189754486,16.69500732421875,10.998000144958496]]},{"pageNumber":0,"geomIndex":9018,"lastGeomIndex":9023,"textElement":"45000","identifiers":{"ELEMENT_INDICES":"1"},"tableIndex":-1,"rowIndex":105,"cellIndex":8,"fontSize":12,"issueTypeId":"SmallFontSizeIssue:XLSX","dismiss":false,"pageNumbers":[1],"coordinatesList":[[10.0,10.0,2.0,2.0]]},{"pageNumber":0,"geomIndex":9023,"lastGeomIndex":9028,"textElement":"Japan","identifiers":{"ELEMENT_INDICES":"1"},"tableIndex":-1,"rowIndex":105,"cellIndex":9,"fontSize":12,"issueTypeId":"SmallFontSizeIssue:XLSX","dismiss":false,"pageNumbers":[1],"coordinatesList":[[10.0,10.0,2.0,2.0]]},{"pageNumber":0,"geomIndex":9028,"lastGeomIndex":9032,"textElement":"Asia","identifiers":{"ELEMENT_INDICES":"1"},"tableIndex":-1,"rowIndex":105,"cellIndex":10,"fontSize":12,"issueTypeId":"SmallFontSizeIssue:XLSX","dismiss":false,"pageNumbers":[1],"coordinatesList":[[10.0,10.0,2.0,2.0]]},{"pageNumber":0,"geomIndex":9032,"lastGeomIndex":9039,"textElement":"Porsche","identifiers":{"ELEMENT_INDICES":"1"},"tableIndex":-1,"rowIndex":106,"cellIndex":0,"fontSize":12,"issueTypeId":"SmallFontSizeIssue:XLSX","dismiss":false,"pageNumbers":[1],"coordinatesList":[[10.0,10.0,2.0,2.0]]},{"pageNumber":0,"geomIndex":9039,"lastGeomIndex":9047,"textElement":"Taycan 4S","identifiers":{"ELEMENT_INDICES":"1"},"tableIndex":-1,"rowIndex":106,"cellIndex":1,"fontSize":12,"issueTypeId":"SmallFontSizeIssue:XLSX","dismiss":false,"pageNumbers":[1],"coordinatesList":[[10.0,10.0,2.0,2.0]]},{"pageNumber":0,"geomIndex":9047,"lastGeomIndex":9093,"textElement":"_xlfn.XLOOKUP($B107,Sheet2!$B:$B,Sheet2!$C:$C)","identifiers":{"ELEMENT_INDICES":"1"},"tableIndex":-1,"rowIndex":106,"cellIndex":2,"fontSize":12,"issueTypeId":"SmallFontSizeIssue:XLSX","dismiss":false,"pageNumbers":[1],"coordinatesList":[[10.0,10.0,2.0,2.0]]},{"pageNumber":0,"geomIndex":9093,"lastGeomIndex":9097,"textElement":"2140","identifiers":{"ELEMENT_INDICES":"1"},"tableIndex":-1,"rowIndex":106,"cellIndex":3,"fontSize":12,"issueTypeId":"SmallFontSizeIssue:XLSX","dismiss":false,"pageNumbers":[1],"coordinatesList":[[10.0,10.0,2.0,2.0]]},{"pageNumber":0,"geomIndex":9097,"lastGeomIndex":9100,"textElement":"250","identifiers":{"ELEMENT_INDICES":"1"},"tableIndex":-1,"rowIndex":106,"cellIndex":4,"fontSize":12,"issueTypeId":"SmallFontSizeIssue:XLSX","dismiss":false,"pageNumbers":[1],"coordinatesList":[[504.0849914550781,440.13630652427673,16.694976806640625,10.998000144958496]]},{"pageNumber":0,"geomIndex":9100,"lastGeomIndex":9103,"textElement":"365","identifiers":{"ELEMENT_INDICES":"1"},"tableIndex":-1,"rowIndex":106,"cellIndex":5,"fontSize":12,"issueTypeId":"SmallFontSizeIssue:XLSX","dismiss":false,"pageNumbers":[1],"coordinatesList":[[398.7019958496094,335.170303106308,16.69500732421875,10.998000144958496]]},{"pageNumber":0,"geomIndex":9103,"lastGeomIndex":9104,"textElement":"4","identifiers":{"ELEMENT_INDICES":"1"},"tableIndex":-1,"rowIndex":106,"cellIndex":6,"fontSize":12,"issueTypeId":"SmallFontSizeIssue:XLSX","dismiss":false,"pageNumbers":[1],"coordinatesList":[[453.2690124511719,410.14631628990173,5.56500244140625,10.998000144958496]]},{"pageNumber":0,"geomIndex":9104,"lastGeomIndex":9107,"textElement":"195","identifiers":{"ELEMENT_INDICES":"1"},"tableIndex":-1,"rowIndex":106,"cellIndex":7,"fontSize":12,"issueTypeId":"SmallFontSizeIssue:XLSX","dismiss":false,"pageNumbers":[1],"coordinatesList":[[504.0849914550781,320.17430090904236,16.694976806640625,10.998000144958496]]},{"pageNumber":0,"geomIndex":9107,"lastGeomIndex":9113,"textElement":"102945","identifiers":{"ELEMENT_INDICES":"1"},"tableIndex":-1,"rowIndex":106,"cellIndex":8,"fontSize":12,"issueTypeId":"SmallFontSizeIssue:XLSX","dismiss":false,"pageNumbers":[1],"coordinatesList":[[10.0,10.0,2.0,2.0]]},{"pageNumber":0,"geomIndex":9113,"lastGeomIndex":9120,"textElement":"Germany","identifiers":{"ELEMENT_INDICES":"1"},"tableIndex":-1,"rowIndex":106,"cellIndex":9,"fontSize":12,"issueTypeId":"SmallFontSizeIssue:XLSX","dismiss":false,"pageNumbers":[1],"coordinatesList":[[10.0,10.0,2.0,2.0]]},{"pageNumber":0,"geomIndex":9120,"lastGeomIndex":9126,"textElement":"Europe","identifiers":{"ELEMENT_INDICES":"1"},"tableIndex":-1,"rowIndex":106,"cellIndex":10,"fontSize":12,"issueTypeId":"SmallFontSizeIssue:XLSX","dismiss":false,"pageNumbers":[1],"coordinatesList":[[10.0,10.0,2.0,2.0]]},{"pageNumber":0,"geomIndex":9126,"lastGeomIndex":9133,"textElement":"Porsche","identifiers":{"ELEMENT_INDICES":"1"},"tableIndex":-1,"rowIndex":107,"cellIndex":0,"fontSize":12,"issueTypeId":"SmallFontSizeIssue:XLSX","dismiss":false,"pageNumbers":[1],"coordinatesList":[[10.0,10.0,2.0,2.0]]},{"pageNumber":0,"geomIndex":9133,"lastGeomIndex":9145,"textElement":"Taycan 4S Plus","identifiers":{"ELEMENT_INDICES":"1"},"tableIndex":-1,"rowIndex":107,"cellIndex":1,"fontSize":12,"issueTypeId":"SmallFontSizeIssue:XLSX","dismiss":false,"pageNumbers":[1],"coordinatesList":[[10.0,10.0,2.0,2.0]]},{"pageNumber":0,"geomIndex":9145,"lastGeomIndex":9191,"textElement":"_xlfn.XLOOKUP($B108,Sheet2!$B:$B,Sheet2!$C:$C)","identifiers":{"ELEMENT_INDICES":"1"},"tableIndex":-1,"rowIndex":107,"cellIndex":2,"fontSize":12,"issueTypeId":"SmallFontSizeIssue:XLSX","dismiss":false,"pageNumbers":[1],"coordinatesList":[[10.0,10.0,2.0,2.0]]},{"pageNumber":0,"geomIndex":9191,"lastGeomIndex":9195,"textElement":"2140","identifiers":{"ELEMENT_INDICES":"1"},"tableIndex":-1,"rowIndex":107,"cellIndex":3,"fontSize":12,"issueTypeId":"SmallFontSizeIssue:XLSX","dismiss":false,"pageNumbers":[1],"coordinatesList":[[10.0,10.0,2.0,2.0]]},{"pageNumber":0,"geomIndex":9195,"lastGeomIndex":9198,"textElement":"250","identifiers":{"ELEMENT_INDICES":"1"},"tableIndex":-1,"rowIndex":107,"cellIndex":4,"fontSize":12,"issueTypeId":"SmallFontSizeIssue:XLSX","dismiss":false,"pageNumbers":[1],"coordinatesList":[[504.0849914550781,440.13630652427673,16.694976806640625,10.998000144958496]]},{"pageNumber":0,"geomIndex":9198,"lastGeomIndex":9201,"textElement":"425","identifiers":{"ELEMENT_INDICES":"1"},"tableIndex":-1,"rowIndex":107,"cellIndex":5,"fontSize":12,"issueTypeId":"SmallFontSizeIssue:XLSX","dismiss":false,"pageNumbers":[1],"coordinatesList":[[504.0849914550781,605.0843045711517,16.694976806640625,10.998000144958496]]},{"pageNumber":0,"geomIndex":9201,"lastGeomIndex":9202,"textElement":"4","identifiers":{"ELEMENT_INDICES":"1"},"tableIndex":-1,"rowIndex":107,"cellIndex":6,"fontSize":12,"issueTypeId":"SmallFontSizeIssue:XLSX","dismiss":false,"pageNumbers":[1],"coordinatesList":[[453.2690124511719,410.14631628990173,5.56500244140625,10.998000144958496]]},{"pageNumber":0,"geomIndex":9202,"lastGeomIndex":9205,"textElement":"197","identifiers":{"ELEMENT_INDICES":"1"},"tableIndex":-1,"rowIndex":107,"cellIndex":7,"fontSize":12,"issueTypeId":"SmallFontSizeIssue:XLSX","dismiss":false,"pageNumbers":[1],"coordinatesList":[[10.0,10.0,2.0,2.0]]},{"pageNumber":0,"geomIndex":9205,"lastGeomIndex":9211,"textElement":"109302","identifiers":{"ELEMENT_INDICES":"1"},"tableIndex":-1,"rowIndex":107,"cellIndex":8,"fontSize":12,"issueTypeId":"SmallFontSizeIssue:XLSX","dismiss":false,"pageNumbers":[1],"coordinatesList":[[10.0,10.0,2.0,2.0]]},{"pageNumber":0,"geomIndex":9211,"lastGeomIndex":9218,"textElement":"Germany","identifiers":{"ELEMENT_INDICES":"1"},"tableIndex":-1,"rowIndex":107,"cellIndex":9,"fontSize":12,"issueTypeId":"SmallFontSizeIssue:XLSX","dismiss":false,"pageNumbers":[1],"coordinatesList":[[10.0,10.0,2.0,2.0]]},{"pageNumber":0,"geomIndex":9218,"lastGeomIndex":9224,"textElement":"Europe","identifiers":{"ELEMENT_INDICES":"1"},"tableIndex":-1,"rowIndex":107,"cellIndex":10,"fontSize":12,"issueTypeId":"SmallFontSizeIssue:XLSX","dismiss":false,"pageNumbers":[1],"coordinatesList":[[10.0,10.0,2.0,2.0]]},{"pageNumber":0,"geomIndex":9224,"lastGeomIndex":9231,"textElement":"Porsche","identifiers":{"ELEMENT_INDICES":"1"},"tableIndex":-1,"rowIndex":108,"cellIndex":0,"fontSize":12,"issueTypeId":"SmallFontSizeIssue:XLSX","dismiss":false,"pageNumbers":[1],"coordinatesList":[[10.0,10.0,2.0,2.0]]},{"pageNumber":0,"geomIndex":9231,"lastGeomIndex":9249,"textElement":"Taycan Cross Turismo","identifiers":{"ELEMENT_INDICES":"1"},"tableIndex":-1,"rowIndex":108,"cellIndex":1,"fontSize":12,"issueTypeId":"SmallFontSizeIssue:XLSX","dismiss":false,"pageNumbers":[1],"coordinatesList":[[10.0,10.0,2.0,2.0]]},{"pageNumber":0,"geomIndex":9249,"lastGeomIndex":9295,"textElement":"_xlfn.XLOOKUP($B109,Sheet2!$B:$B,Sheet2!$C:$C)","identifiers":{"ELEMENT_INDICES":"1"},"tableIndex":-1,"rowIndex":108,"cellIndex":2,"fontSize":12,"issueTypeId":"SmallFontSizeIssue:XLSX","dismiss":false,"pageNumbers":[1],"coordinatesList":[[10.0,10.0,2.0,2.0]]},{"pageNumber":0,"geomIndex":9295,"lastGeomIndex":9299,"textElement":"2320","identifiers":{"ELEMENT_INDICES":"1"},"tableIndex":-1,"rowIndex":108,"cellIndex":3,"fontSize":12,"issueTypeId":"SmallFontSizeIssue:XLSX","dismiss":false,"pageNumbers":[1],"coordinatesList":[[10.0,10.0,2.0,2.0]]},{"pageNumber":0,"geomIndex":9299,"lastGeomIndex":9302,"textElement":"250","identifiers":{"ELEMENT_INDICES":"1"},"tableIndex":-1,"rowIndex":108,"cellIndex":4,"fontSize":12,"issueTypeId":"SmallFontSizeIssue:XLSX","dismiss":false,"pageNumbers":[1],"coordinatesList":[[504.0849914550781,440.13630652427673,16.694976806640625,10.998000144958496]]},{"pageNumber":0,"geomIndex":9302,"lastGeomIndex":9305,"textElement":"385","identifiers":{"ELEMENT_INDICES":"1"},"tableIndex":-1,"rowIndex":108,"cellIndex":5,"fontSize":12,"issueTypeId":"SmallFontSizeIssue:XLSX","dismiss":false,"pageNumbers":[1],"coordinatesList":[[10.0,10.0,2.0,2.0]]},{"pageNumber":0,"geomIndex":9305,"lastGeomIndex":9308,"textElement":"3.5","identifiers":{"ELEMENT_INDICES":"1"},"tableIndex":-1,"rowIndex":108,"cellIndex":6,"fontSize":12,"issueTypeId":"SmallFontSizeIssue:XLSX","dismiss":false,"pageNumbers":[1],"coordinatesList":[[10.0,10.0,2.0,2.0]]},{"pageNumber":0,"geomIndex":9308,"lastGeomIndex":9311,"textElement":"217","identifiers":{"ELEMENT_INDICES":"1"},"tableIndex":-1,"rowIndex":108,"cellIndex":7,"fontSize":12,"issueTypeId":"SmallFontSizeIssue:XLSX","dismiss":false,"pageNumbers":[1],"coordinatesList":[[10.0,10.0,2.0,2.0]]},{"pageNumber":0,"geomIndex":9311,"lastGeomIndex":9317,"textElement":"150000","identifiers":{"ELEMENT_INDICES":"1"},"tableIndex":-1,"rowIndex":108,"cellIndex":8,"fontSize":12,"issueTypeId":"SmallFontSizeIssue:XLSX","dismiss":false,"pageNumbers":[1],"coordinatesList":[[10.0,10.0,2.0,2.0]]},{"pageNumber":0,"geomIndex":9317,"lastGeomIndex":9324,"textElement":"Germany","identifiers":{"ELEMENT_INDICES":"1"},"tableIndex":-1,"rowIndex":108,"cellIndex":9,"fontSize":12,"issueTypeId":"SmallFontSizeIssue:XLSX","dismiss":false,"pageNumbers":[1],"coordinatesList":[[10.0,10.0,2.0,2.0]]},{"pageNumber":0,"geomIndex":9324,"lastGeomIndex":9330,"textElement":"Europe","identifiers":{"ELEMENT_INDICES":"1"},"tableIndex":-1,"rowIndex":108,"cellIndex":10,"fontSize":12,"issueTypeId":"SmallFontSizeIssue:XLSX","dismiss":false,"pageNumbers":[1],"coordinatesList":[[10.0,10.0,2.0,2.0]]},{"pageNumber":0,"geomIndex":9330,"lastGeomIndex":9337,"textElement":"Porsche","identifiers":{"ELEMENT_INDICES":"1"},"tableIndex":-1,"rowIndex":109,"cellIndex":0,"fontSize":12,"issueTypeId":"SmallFontSizeIssue:XLSX","dismiss":false,"pageNumbers":[1],"coordinatesList":[[10.0,10.0,2.0,2.0]]},{"pageNumber":0,"geomIndex":9337,"lastGeomIndex":9348,"textElement":"Taycan Turbo","identifiers":{"ELEMENT_INDICES":"1"},"tableIndex":-1,"rowIndex":109,"cellIndex":1,"fontSize":12,"issueTypeId":"SmallFontSizeIssue:XLSX","dismiss":false,"pageNumbers":[1],"coordinatesList":[[10.0,10.0,2.0,2.0]]},{"pageNumber":0,"geomIndex":9348,"lastGeomIndex":9394,"textElement":"_xlfn.XLOOKUP($B110,Sheet2!$B:$B,Sheet2!$C:$C)","identifiers":{"ELEMENT_INDICES":"1"},"tableIndex":-1,"rowIndex":109,"cellIndex":2,"fontSize":12,"issueTypeId":"SmallFontSizeIssue:XLSX","dismiss":false,"pageNumbers":[1],"coordinatesList":[[10.0,10.0,2.0,2.0]]},{"pageNumber":0,"geomIndex":9394,"lastGeomIndex":9398,"textElement":"2295","identifiers":{"ELEMENT_INDICES":"1"},"tableIndex":-1,"rowIndex":109,"cellIndex":3,"fontSize":12,"issueTypeId":"SmallFontSizeIssue:XLSX","dismiss":false,"pageNumbers":[1],"coordinatesList":[[10.0,10.0,2.0,2.0]]},{"pageNumber":0,"geomIndex":9398,"lastGeomIndex":9401,"textElement":"260","identifiers":{"ELEMENT_INDICES":"1"},"tableIndex":-1,"rowIndex":109,"cellIndex":4,"fontSize":12,"issueTypeId":"SmallFontSizeIssue:XLSX","dismiss":false,"pageNumbers":[1],"coordinatesList":[[10.0,10.0,2.0,2.0]]},{"pageNumber":0,"geomIndex":9401,"lastGeomIndex":9404,"textElement":"390","identifiers":{"ELEMENT_INDICES":"1"},"tableIndex":-1,"rowIndex":109,"cellIndex":5,"fontSize":12,"issueTypeId":"SmallFontSizeIssue:XLSX","dismiss":false,"pageNumbers":[1],"coordinatesList":[[504.0849914550781,380.1553189754486,16.694976806640625,10.998000144958496]]},{"pageNumber":0,"geomIndex":9404,"lastGeomIndex":9407,"textElement":"3.2","identifiers":{"ELEMENT_INDICES":"1"},"tableIndex":-1,"rowIndex":109,"cellIndex":6,"fontSize":12,"issueTypeId":"SmallFontSizeIssue:XLSX","dismiss":false,"pageNumbers":[1],"coordinatesList":[[10.0,10.0,2.0,2.0]]},{"pageNumber":0,"geomIndex":9407,"lastGeomIndex":9410,"textElement":"215","identifiers":{"ELEMENT_INDICES":"1"},"tableIndex":-1,"rowIndex":109,"cellIndex":7,"fontSize":12,"issueTypeId":"SmallFontSizeIssue:XLSX","dismiss":false,"pageNumbers":[1],"coordinatesList":[[10.0,10.0,2.0,2.0]]},{"pageNumber":0,"geomIndex":9410,"lastGeomIndex":9416,"textElement":"148301","identifiers":{"ELEMENT_INDICES":"1"},"tableIndex":-1,"rowIndex":109,"cellIndex":8,"fontSize":12,"issueTypeId":"SmallFontSizeIssue:XLSX","dismiss":false,"pageNumbers":[1],"coordinatesList":[[10.0,10.0,2.0,2.0]]},{"pageNumber":0,"geomIndex":9416,"lastGeomIndex":9423,"textElement":"Germany","identifiers":{"ELEMENT_INDICES":"1"},"tableIndex":-1,"rowIndex":109,"cellIndex":9,"fontSize":12,"issueTypeId":"SmallFontSizeIssue:XLSX","dismiss":false,"pageNumbers":[1],"coordinatesList":[[10.0,10.0,2.0,2.0]]},{"pageNumber":0,"geomIndex":9423,"lastGeomIndex":9429,"textElement":"Europe","identifiers":{"ELEMENT_INDICES":"1"},"tableIndex":-1,"rowIndex":109,"cellIndex":10,"fontSize":12,"issueTypeId":"SmallFontSizeIssue:XLSX","dismiss":false,"pageNumbers":[1],"coordinatesList":[[10.0,10.0,2.0,2.0]]},{"pageNumber":0,"geomIndex":9429,"lastGeomIndex":9436,"textElement":"Porsche","identifiers":{"ELEMENT_INDICES":"1"},"tableIndex":-1,"rowIndex":110,"cellIndex":0,"fontSize":12,"issueTypeId":"SmallFontSizeIssue:XLSX","dismiss":false,"pageNumbers":[1],"coordinatesList":[[10.0,10.0,2.0,2.0]]},{"pageNumber":0,"geomIndex":9436,"lastGeomIndex":9448,"textElement":"Taycan Turbo S","identifiers":{"ELEMENT_INDICES":"1"},"tableIndex":-1,"rowIndex":110,"cellIndex":1,"fontSize":12,"issueTypeId":"SmallFontSizeIssue:XLSX","dismiss":false,"pageNumbers":[1],"coordinatesList":[[10.0,10.0,2.0,2.0]]},{"pageNumber":0,"geomIndex":9448,"lastGeomIndex":9494,"textElement":"_xlfn.XLOOKUP($B111,Sheet2!$B:$B,Sheet2!$C:$C)","identifiers":{"ELEMENT_INDICES":"1"},"tableIndex":-1,"rowIndex":110,"cellIndex":2,"fontSize":12,"issueTypeId":"SmallFontSizeIssue:XLSX","dismiss":false,"pageNumbers":[1],"coordinatesList":[[10.0,10.0,2.0,2.0]]},{"pageNumber":0,"geomIndex":9494,"lastGeomIndex":9498,"textElement":"2295","identifiers":{"ELEMENT_INDICES":"1"},"tableIndex":-1,"rowIndex":110,"cellIndex":3,"fontSize":12,"issueTypeId":"SmallFontSizeIssue:XLSX","dismiss":false,"pageNumbers":[1],"coordinatesList":[[10.0,10.0,2.0,2.0]]},{"pageNumber":0,"geomIndex":9498,"lastGeomIndex":9501,"textElement":"260","identifiers":{"ELEMENT_INDICES":"1"},"tableIndex":-1,"rowIndex":110,"cellIndex":4,"fontSize":12,"issueTypeId":"SmallFontSizeIssue:XLSX","dismiss":false,"pageNumbers":[1],"coordinatesList":[[10.0,10.0,2.0,2.0]]},{"pageNumber":0,"geomIndex":9501,"lastGeomIndex":9504,"textElement":"375","identifiers":{"ELEMENT_INDICES":"1"},"tableIndex":-1,"rowIndex":110,"cellIndex":5,"fontSize":12,"issueTypeId":"SmallFontSizeIssue:XLSX","dismiss":false,"pageNumbers":[1],"coordinatesList":[[504.0849914550781,260.1932828426361,16.694976806640625,10.998000144958496]]},{"pageNumber":0,"geomIndex":9504,"lastGeomIndex":9507,"textElement":"2.8","identifiers":{"ELEMENT_INDICES":"1"},"tableIndex":-1,"rowIndex":110,"cellIndex":6,"fontSize":12,"issueTypeId":"SmallFontSizeIssue:XLSX","dismiss":false,"pageNumbers":[1],"coordinatesList":[[10.0,10.0,2.0,2.0]]},{"pageNumber":0,"geomIndex":9507,"lastGeomIndex":9510,"textElement":"223","identifiers":{"ELEMENT_INDICES":"1"},"tableIndex":-1,"rowIndex":110,"cellIndex":7,"fontSize":12,"issueTypeId":"SmallFontSizeIssue:XLSX","dismiss":false,"pageNumbers":[1],"coordinatesList":[[10.0,10.0,2.0,2.0]]},{"pageNumber":0,"geomIndex":9510,"lastGeomIndex":9516,"textElement":"180781","identifiers":{"ELEMENT_INDICES":"1"},"tableIndex":-1,"rowIndex":110,"cellIndex":8,"fontSize":12,"issueTypeId":"SmallFontSizeIssue:XLSX","dismiss":false,"pageNumbers":[1],"coordinatesList":[[10.0,10.0,2.0,2.0]]},{"pageNumber":0,"geomIndex":9516,"lastGeomIndex":9523,"textElement":"Germany","identifiers":{"ELEMENT_INDICES":"1"},"tableIndex":-1,"rowIndex":110,"cellIndex":9,"fontSize":12,"issueTypeId":"SmallFontSizeIssue:XLSX","dismiss":false,"pageNumbers":[1],"coordinatesList":[[10.0,10.0,2.0,2.0]]},{"pageNumber":0,"geomIndex":9523,"lastGeomIndex":9529,"textElement":"Europe","identifiers":{"ELEMENT_INDICES":"1"},"tableIndex":-1,"rowIndex":110,"cellIndex":10,"fontSize":12,"issueTypeId":"SmallFontSizeIssue:XLSX","dismiss":false,"pageNumbers":[1],"coordinatesList":[[10.0,10.0,2.0,2.0]]},{"pageNumber":0,"geomIndex":9529,"lastGeomIndex":9536,"textElement":"Renault","identifiers":{"ELEMENT_INDICES":"1"},"tableIndex":-1,"rowIndex":111,"cellIndex":0,"fontSize":12,"issueTypeId":"SmallFontSizeIssue:XLSX","dismiss":false,"pageNumbers":[1],"coordinatesList":[[10.0,10.0,2.0,2.0]]},{"pageNumber":0,"geomIndex":9536,"lastGeomIndex":9544,"textElement":"Twingo ZE","identifiers":{"ELEMENT_INDICES":"1"},"tableIndex":-1,"rowIndex":111,"cellIndex":1,"fontSize":12,"issueTypeId":"SmallFontSizeIssue:XLSX","dismiss":false,"pageNumbers":[1],"coordinatesList":[[10.0,10.0,2.0,2.0]]},{"pageNumber":0,"geomIndex":9544,"lastGeomIndex":9590,"textElement":"_xlfn.XLOOKUP($B112,Sheet2!$B:$B,Sheet2!$C:$C)","identifiers":{"ELEMENT_INDICES":"1"},"tableIndex":-1,"rowIndex":111,"cellIndex":2,"fontSize":12,"issueTypeId":"SmallFontSizeIssue:XLSX","dismiss":false,"pageNumbers":[1],"coordinatesList":[[10.0,10.0,2.0,2.0]]},{"pageNumber":0,"geomIndex":9590,"lastGeomIndex":9594,"textElement":"1111","identifiers":{"ELEMENT_INDICES":"1"},"tableIndex":-1,"rowIndex":111,"cellIndex":3,"fontSize":12,"issueTypeId":"SmallFontSizeIssue:XLSX","dismiss":false,"pageNumbers":[1],"coordinatesList":[[10.0,10.0,2.0,2.0]]},{"pageNumber":0,"geomIndex":9594,"lastGeomIndex":9597,"textElement":"135","identifiers":{"ELEMENT_INDICES":"1"},"tableIndex":-1,"rowIndex":111,"cellIndex":4,"fontSize":12,"issueTypeId":"SmallFontSizeIssue:XLSX","dismiss":false,"pageNumbers":[1],"coordinatesList":[[398.7019958496094,230.2032926082611,16.69500732421875,10.998000144958496]]},{"pageNumber":0,"geomIndex":9597,"lastGeomIndex":9600,"textElement":"130","identifiers":{"ELEMENT_INDICES":"1"},"tableIndex":-1,"rowIndex":111,"cellIndex":5,"fontSize":12,"issueTypeId":"SmallFontSizeIssue:XLSX","dismiss":false,"pageNumbers":[1],"coordinatesList":[[447.7040100097656,320.17430090904236,16.69500732421875,10.998000144958496]]},{"pageNumber":0,"geomIndex":9600,"lastGeomIndex":9604,"textElement":"12.6","identifiers":{"ELEMENT_INDICES":"1"},"tableIndex":-1,"rowIndex":111,"cellIndex":6,"fontSize":12,"issueTypeId":"SmallFontSizeIssue:XLSX","dismiss":false,"pageNumbers":[1],"coordinatesList":[[10.0,10.0,2.0,2.0]]},{"pageNumber":0,"geomIndex":9604,"lastGeomIndex":9607,"textElement":"164","identifiers":{"ELEMENT_INDICES":"1"},"tableIndex":-1,"rowIndex":111,"cellIndex":7,"fontSize":12,"issueTypeId":"SmallFontSizeIssue:XLSX","dismiss":false,"pageNumbers":[1],"coordinatesList":[[10.0,10.0,2.0,2.0]]},{"pageNumber":0,"geomIndex":9607,"lastGeomIndex":9612,"textElement":"24790","identifiers":{"ELEMENT_INDICES":"1"},"tableIndex":-1,"rowIndex":111,"cellIndex":8,"fontSize":12,"issueTypeId":"SmallFontSizeIssue:XLSX","dismiss":false,"pageNumbers":[1],"coordinatesList":[[10.0,10.0,2.0,2.0]]},{"pageNumber":0,"geomIndex":9612,"lastGeomIndex":9618,"textElement":"France","identifiers":{"ELEMENT_INDICES":"1"},"tableIndex":-1,"rowIndex":111,"cellIndex":9,"fontSize":12,"issueTypeId":"SmallFontSizeIssue:XLSX","dismiss":false,"pageNumbers":[1],"coordinatesList":[[10.0,10.0,2.0,2.0]]},{"pageNumber":0,"geomIndex":9618,"lastGeomIndex":9624,"textElement":"Europe","identifiers":{"ELEMENT_INDICES":"1"},"tableIndex":-1,"rowIndex":111,"cellIndex":10,"fontSize":12,"issueTypeId":"SmallFontSizeIssue:XLSX","dismiss":false,"pageNumbers":[1],"coordinatesList":[[10.0,10.0,2.0,2.0]]},{"pageNumber":0,"geomIndex":9624,"lastGeomIndex":9630,"textElement":"Aiways","identifiers":{"ELEMENT_INDICES":"1"},"tableIndex":-1,"rowIndex":112,"cellIndex":0,"fontSize":12,"issueTypeId":"SmallFontSizeIssue:XLSX","dismiss":false,"pageNumbers":[1],"coordinatesList":[[10.0,10.0,2.0,2.0]]},{"pageNumber":0,"geomIndex":9630,"lastGeomIndex":9632,"textElement":"U5","identifiers":{"ELEMENT_INDICES":"1"},"tableIndex":-1,"rowIndex":112,"cellIndex":1,"fontSize":12,"issueTypeId":"SmallFontSizeIssue:XLSX","dismiss":false,"pageNumbers":[1],"coordinatesList":[[10.0,10.0,2.0,2.0]]},{"pageNumber":0,"geomIndex":9632,"lastGeomIndex":9678,"textElement":"_xlfn.XLOOKUP($B113,Sheet2!$B:$B,Sheet2!$C:$C)","identifiers":{"ELEMENT_INDICES":"1"},"tableIndex":-1,"rowIndex":112,"cellIndex":2,"fontSize":12,"issueTypeId":"SmallFontSizeIssue:XLSX","dismiss":false,"pageNumbers":[1],"coordinatesList":[[10.0,10.0,2.0,2.0]]},{"pageNumber":0,"geomIndex":9678,"lastGeomIndex":9682,"textElement":"1720","identifiers":{"ELEMENT_INDICES":"1"},"tableIndex":-1,"rowIndex":112,"cellIndex":3,"fontSize":12,"issueTypeId":"SmallFontSizeIssue:XLSX","dismiss":false,"pageNumbers":[1],"coordinatesList":[[10.0,10.0,2.0,2.0]]},{"pageNumber":0,"geomIndex":9682,"lastGeomIndex":9685,"textElement":"150","identifiers":{"ELEMENT_INDICES":"1"},"tableIndex":-1,"rowIndex":112,"cellIndex":4,"fontSize":12,"issueTypeId":"SmallFontSizeIssue:XLSX","dismiss":false,"pageNumbers":[1],"coordinatesList":[[447.7040100097656,440.13630652427673,16.69500732421875,10.998000144958496]]},{"pageNumber":0,"geomIndex":9685,"lastGeomIndex":9688,"textElement":"335","identifiers":{"ELEMENT_INDICES":"1"},"tableIndex":-1,"rowIndex":112,"cellIndex":5,"fontSize":12,"issueTypeId":"SmallFontSizeIssue:XLSX","dismiss":false,"pageNumbers":[1],"coordinatesList":[[504.0849914550781,635.0753018856049,16.694976806640625,10.998000144958496]]},{"pageNumber":0,"geomIndex":9688,"lastGeomIndex":9689,"textElement":"9","identifiers":{"ELEMENT_INDICES":"1"},"tableIndex":-1,"rowIndex":112,"cellIndex":6,"fontSize":12,"issueTypeId":"SmallFontSizeIssue:XLSX","dismiss":false,"pageNumbers":[1],"coordinatesList":[[509.6499938964844,380.1553189754486,5.564971923828125,10.998000144958496]]},{"pageNumber":0,"geomIndex":9689,"lastGeomIndex":9692,"textElement":"188","identifiers":{"ELEMENT_INDICES":"1"},"tableIndex":-1,"rowIndex":112,"cellIndex":7,"fontSize":12,"issueTypeId":"SmallFontSizeIssue:XLSX","dismiss":false,"pageNumbers":[1],"coordinatesList":[[10.0,10.0,2.0,2.0]]},{"pageNumber":0,"geomIndex":9692,"lastGeomIndex":9697,"textElement":"36057","identifiers":{"ELEMENT_INDICES":"1"},"tableIndex":-1,"rowIndex":112,"cellIndex":8,"fontSize":12,"issueTypeId":"SmallFontSizeIssue:XLSX","dismiss":false,"pageNumbers":[1],"coordinatesList":[[10.0,10.0,2.0,2.0]]},{"pageNumber":0,"geomIndex":9697,"lastGeomIndex":9702,"textElement":"China","identifiers":{"ELEMENT_INDICES":"1"},"tableIndex":-1,"rowIndex":112,"cellIndex":9,"fontSize":12,"issueTypeId":"SmallFontSizeIssue:XLSX","dismiss":false,"pageNumbers":[1],"coordinatesList":[[10.0,10.0,2.0,2.0]]},{"pageNumber":0,"geomIndex":9702,"lastGeomIndex":9706,"textElement":"Asia","identifiers":{"ELEMENT_INDICES":"1"},"tableIndex":-1,"rowIndex":112,"cellIndex":10,"fontSize":12,"issueTypeId":"SmallFontSizeIssue:XLSX","dismiss":false,"pageNumbers":[1],"coordinatesList":[[10.0,10.0,2.0,2.0]]},{"pageNumber":0,"geomIndex":9706,"lastGeomIndex":9711,"textElement":"Lexus","identifiers":{"ELEMENT_INDICES":"1"},"tableIndex":-1,"rowIndex":113,"cellIndex":0,"fontSize":12,"issueTypeId":"SmallFontSizeIssue:XLSX","dismiss":false,"pageNumbers":[1],"coordinatesList":[[10.0,10.0,2.0,2.0]]},{"pageNumber":0,"geomIndex":9711,"lastGeomIndex":9717,"textElement":"UX 300e","identifiers":{"ELEMENT_INDICES":"1"},"tableIndex":-1,"rowIndex":113,"cellIndex":1,"fontSize":12,"issueTypeId":"SmallFontSizeIssue:XLSX","dismiss":false,"pageNumbers":[1],"coordinatesList":[[10.0,10.0,2.0,2.0]]},{"pageNumber":0,"geomIndex":9717,"lastGeomIndex":9763,"textElement":"_xlfn.XLOOKUP($B114,Sheet2!$B:$B,Sheet2!$C:$C)","identifiers":{"ELEMENT_INDICES":"1"},"tableIndex":-1,"rowIndex":113,"cellIndex":2,"fontSize":12,"issueTypeId":"SmallFontSizeIssue:XLSX","dismiss":false,"pageNumbers":[1],"coordinatesList":[[10.0,10.0,2.0,2.0]]},{"pageNumber":0,"geomIndex":9763,"lastGeomIndex":9767,"textElement":"1840","identifiers":{"ELEMENT_INDICES":"1"},"tableIndex":-1,"rowIndex":113,"cellIndex":3,"fontSize":12,"issueTypeId":"SmallFontSizeIssue:XLSX","dismiss":false,"pageNumbers":[1],"coordinatesList":[[10.0,10.0,2.0,2.0]]},{"pageNumber":0,"geomIndex":9767,"lastGeomIndex":9770,"textElement":"160","identifiers":{"ELEMENT_INDICES":"1"},"tableIndex":-1,"rowIndex":113,"cellIndex":4,"fontSize":12,"issueTypeId":"SmallFontSizeIssue:XLSX","dismiss":false,"pageNumbers":[1],"coordinatesList":[[447.7040100097656,305.17930579185486,16.69500732421875,10.998000144958496]]},{"pageNumber":0,"geomIndex":9770,"lastGeomIndex":9773,"textElement":"270","identifiers":{"ELEMENT_INDICES":"1"},"tableIndex":-1,"rowIndex":113,"cellIndex":5,"fontSize":12,"issueTypeId":"SmallFontSizeIssue:XLSX","dismiss":false,"pageNumbers":[1],"coordinatesList":[[10.0,10.0,2.0,2.0]]},{"pageNumber":0,"geomIndex":9773,"lastGeomIndex":9776,"textElement":"7.5","identifiers":{"ELEMENT_INDICES":"1"},"tableIndex":-1,"rowIndex":113,"cellIndex":6,"fontSize":12,"issueTypeId":"SmallFontSizeIssue:XLSX","dismiss":false,"pageNumbers":[1],"coordinatesList":[[10.0,10.0,2.0,2.0]]},{"pageNumber":0,"geomIndex":9776,"lastGeomIndex":9779,"textElement":"193","identifiers":{"ELEMENT_INDICES":"1"},"tableIndex":-1,"rowIndex":113,"cellIndex":7,"fontSize":12,"issueTypeId":"SmallFontSizeIssue:XLSX","dismiss":false,"pageNumbers":[1],"coordinatesList":[[10.0,10.0,2.0,2.0]]},{"pageNumber":0,"geomIndex":9779,"lastGeomIndex":9784,"textElement":"50000","identifiers":{"ELEMENT_INDICES":"1"},"tableIndex":-1,"rowIndex":113,"cellIndex":8,"fontSize":12,"issueTypeId":"SmallFontSizeIssue:XLSX","dismiss":false,"pageNumbers":[1],"coordinatesList":[[10.0,10.0,2.0,2.0]]},{"pageNumber":0,"geomIndex":9784,"lastGeomIndex":9789,"textElement":"Japan","identifiers":{"ELEMENT_INDICES":"1"},"tableIndex":-1,"rowIndex":113,"cellIndex":9,"fontSize":12,"issueTypeId":"SmallFontSizeIssue:XLSX","dismiss":false,"pageNumbers":[1],"coordinatesList":[[10.0,10.0,2.0,2.0]]},{"pageNumber":0,"geomIndex":9789,"lastGeomIndex":9793,"textElement":"Asia","identifiers":{"ELEMENT_INDICES":"1"},"tableIndex":-1,"rowIndex":113,"cellIndex":10,"fontSize":12,"issueTypeId":"SmallFontSizeIssue:XLSX","dismiss":false,"pageNumbers":[1],"coordinatesList":[[10.0,10.0,2.0,2.0]]},{"pageNumber":0,"geomIndex":9793,"lastGeomIndex":9798,"textElement":"Volvo","identifiers":{"ELEMENT_INDICES":"1"},"tableIndex":-1,"rowIndex":114,"cellIndex":0,"fontSize":12,"issueTypeId":"SmallFontSizeIssue:XLSX","dismiss":false,"pageNumbers":[1],"coordinatesList":[[10.0,10.0,2.0,2.0]]},{"pageNumber":0,"geomIndex":9798,"lastGeomIndex":9815,"textElement":"XC40 P8 AWD Recharge","identifiers":{"ELEMENT_INDICES":"1"},"tableIndex":-1,"rowIndex":114,"cellIndex":1,"fontSize":12,"issueTypeId":"SmallFontSizeIssue:XLSX","dismiss":false,"pageNumbers":[1],"coordinatesList":[[10.0,10.0,2.0,2.0]]},{"pageNumber":0,"geomIndex":9815,"lastGeomIndex":9861,"textElement":"_xlfn.XLOOKUP($B115,Sheet2!$B:$B,Sheet2!$C:$C)","identifiers":{"ELEMENT_INDICES":"1"},"tableIndex":-1,"rowIndex":114,"cellIndex":2,"fontSize":12,"issueTypeId":"SmallFontSizeIssue:XLSX","dismiss":false,"pageNumbers":[1],"coordinatesList":[[10.0,10.0,2.0,2.0]]},{"pageNumber":0,"geomIndex":9861,"lastGeomIndex":9865,"textElement":"2215","identifiers":{"ELEMENT_INDICES":"1"},"tableIndex":-1,"rowIndex":114,"cellIndex":3,"fontSize":12,"issueTypeId":"SmallFontSizeIssue:XLSX","dismiss":false,"pageNumbers":[1],"coordinatesList":[[10.0,10.0,2.0,2.0]]},{"pageNumber":0,"geomIndex":9865,"lastGeomIndex":9868,"textElement":"180","identifiers":{"ELEMENT_INDICES":"1"},"tableIndex":-1,"rowIndex":114,"cellIndex":4,"fontSize":12,"issueTypeId":"SmallFontSizeIssue:XLSX","dismiss":false,"pageNumbers":[1],"coordinatesList":[[447.7040100097656,380.1553189754486,16.69500732421875,10.998000144958496]]},{"pageNumber":0,"geomIndex":9868,"lastGeomIndex":9871,"textElement":"375","identifiers":{"ELEMENT_INDICES":"1"},"tableIndex":-1,"rowIndex":114,"cellIndex":5,"fontSize":12,"issueTypeId":"SmallFontSizeIssue:XLSX","dismiss":false,"pageNumbers":[1],"coordinatesList":[[504.0849914550781,260.1932828426361,16.694976806640625,10.998000144958496]]},{"pageNumber":0,"geomIndex":9871,"lastGeomIndex":9874,"textElement":"4.9","identifiers":{"ELEMENT_INDICES":"1"},"tableIndex":-1,"rowIndex":114,"cellIndex":6,"fontSize":12,"issueTypeId":"SmallFontSizeIssue:XLSX","dismiss":false,"pageNumbers":[1],"coordinatesList":[[10.0,10.0,2.0,2.0]]},{"pageNumber":0,"geomIndex":9874,"lastGeomIndex":9877,"textElement":"200","identifiers":{"ELEMENT_INDICES":"1"},"tableIndex":-1,"rowIndex":114,"cellIndex":7,"fontSize":12,"issueTypeId":"SmallFontSizeIssue:XLSX","dismiss":false,"pageNumbers":[1],"coordinatesList":[[112.80638885498047,440.13630652427673,16.694969177246094,10.998000144958496]]},{"pageNumber":0,"geomIndex":9877,"lastGeomIndex":9882,"textElement":"60437","identifiers":{"ELEMENT_INDICES":"1"},"tableIndex":-1,"rowIndex":114,"cellIndex":8,"fontSize":12,"issueTypeId":"SmallFontSizeIssue:XLSX","dismiss":false,"pageNumbers":[1],"coordinatesList":[[10.0,10.0,2.0,2.0]]},{"pageNumber":0,"geomIndex":9882,"lastGeomIndex":9888,"textElement":"Sweden","identifiers":{"ELEMENT_INDICES":"1"},"tableIndex":-1,"rowIndex":114,"cellIndex":9,"fontSize":12,"issueTypeId":"SmallFontSizeIssue:XLSX","dismiss":false,"pageNumbers":[1],"coordinatesList":[[10.0,10.0,2.0,2.0]]},{"pageNumber":0,"geomIndex":9888,"lastGeomIndex":9894,"textElement":"Europe","identifiers":{"ELEMENT_INDICES":"1"},"tableIndex":-1,"rowIndex":114,"cellIndex":10,"fontSize":12,"issueTypeId":"SmallFontSizeIssue:XLSX","dismiss":false,"pageNumbers":[1],"coordinatesList":[[10.0,10.0,2.0,2.0]]},{"pageNumber":0,"geomIndex":9894,"lastGeomIndex":9901,"textElement":"Renault","identifiers":{"ELEMENT_INDICES":"1"},"tableIndex":-1,"rowIndex":115,"cellIndex":0,"fontSize":12,"issueTypeId":"SmallFontSizeIssue:XLSX","dismiss":false,"pageNumbers":[1],"coordinatesList":[[10.0,10.0,2.0,2.0]]},{"pageNumber":0,"geomIndex":9901,"lastGeomIndex":9912,"textElement":"Zoe ZE40 R110","identifiers":{"ELEMENT_INDICES":"1"},"tableIndex":-1,"rowIndex":115,"cellIndex":1,"fontSize":12,"issueTypeId":"SmallFontSizeIssue:XLSX","dismiss":false,"pageNumbers":[1],"coordinatesList":[[10.0,10.0,2.0,2.0]]},{"pageNumber":0,"geomIndex":9912,"lastGeomIndex":9958,"textElement":"_xlfn.XLOOKUP($B116,Sheet2!$B:$B,Sheet2!$C:$C)","identifiers":{"ELEMENT_INDICES":"1"},"tableIndex":-1,"rowIndex":115,"cellIndex":2,"fontSize":12,"issueTypeId":"SmallFontSizeIssue:XLSX","dismiss":false,"pageNumbers":[1],"coordinatesList":[[10.0,10.0,2.0,2.0]]},{"pageNumber":0,"geomIndex":9958,"lastGeomIndex":9962,"textElement":"1480","identifiers":{"ELEMENT_INDICES":"1"},"tableIndex":-1,"rowIndex":115,"cellIndex":3,"fontSize":12,"issueTypeId":"SmallFontSizeIssue:XLSX","dismiss":false,"pageNumbers":[1],"coordinatesList":[[10.0,10.0,2.0,2.0]]},{"pageNumber":0,"geomIndex":9962,"lastGeomIndex":9965,"textElement":"135","identifiers":{"ELEMENT_INDICES":"1"},"tableIndex":-1,"rowIndex":115,"cellIndex":4,"fontSize":12,"issueTypeId":"SmallFontSizeIssue:XLSX","dismiss":false,"pageNumbers":[1],"coordinatesList":[[398.7019958496094,230.2032926082611,16.69500732421875,10.998000144958496]]},{"pageNumber":0,"geomIndex":9965,"lastGeomIndex":9968,"textElement":"255","identifiers":{"ELEMENT_INDICES":"1"},"tableIndex":-1,"rowIndex":115,"cellIndex":5,"fontSize":12,"issueTypeId":"SmallFontSizeIssue:XLSX","dismiss":false,"pageNumbers":[1],"coordinatesList":[[10.0,10.0,2.0,2.0]]},{"pageNumber":0,"geomIndex":9968,"lastGeomIndex":9972,"textElement":"11.4","identifiers":{"ELEMENT_INDICES":"1"},"tableIndex":-1,"rowIndex":115,"cellIndex":6,"fontSize":12,"issueTypeId":"SmallFontSizeIssue:XLSX","dismiss":false,"pageNumbers":[1],"coordinatesList":[[10.0,10.0,2.0,2.0]]},{"pageNumber":0,"geomIndex":9972,"lastGeomIndex":9975,"textElement":"161","identifiers":{"ELEMENT_INDICES":"1"},"tableIndex":-1,"rowIndex":115,"cellIndex":7,"fontSize":12,"issueTypeId":"SmallFontSizeIssue:XLSX","dismiss":false,"pageNumbers":[1],"coordinatesList":[[404.2669982910156,185.2173306941986,49.00201416015625,10.998000144958496]]},{"pageNumber":0,"geomIndex":9975,"lastGeomIndex":9980,"textElement":"29234","identifiers":{"ELEMENT_INDICES":"1"},"tableIndex":-1,"rowIndex":115,"cellIndex":8,"fontSize":12,"issueTypeId":"SmallFontSizeIssue:XLSX","dismiss":false,"pageNumbers":[1],"coordinatesList":[[10.0,10.0,2.0,2.0]]},{"pageNumber":0,"geomIndex":9980,"lastGeomIndex":9986,"textElement":"France","identifiers":{"ELEMENT_INDICES":"1"},"tableIndex":-1,"rowIndex":115,"cellIndex":9,"fontSize":12,"issueTypeId":"SmallFontSizeIssue:XLSX","dismiss":false,"pageNumbers":[1],"coordinatesList":[[10.0,10.0,2.0,2.0]]},{"pageNumber":0,"geomIndex":9986,"lastGeomIndex":9992,"textElement":"Europe","identifiers":{"ELEMENT_INDICES":"1"},"tableIndex":-1,"rowIndex":115,"cellIndex":10,"fontSize":12,"issueTypeId":"SmallFontSizeIssue:XLSX","dismiss":false,"pageNumbers":[1],"coordinatesList":[[10.0,10.0,2.0,2.0]]},{"pageNumber":0,"geomIndex":9992,"lastGeomIndex":9999,"textElement":"Renault","identifiers":{"ELEMENT_INDICES":"1"},"tableIndex":-1,"rowIndex":116,"cellIndex":0,"fontSize":12,"issueTypeId":"SmallFontSizeIssue:XLSX","dismiss":false,"pageNumbers":[1],"coordinatesList":[[10.0,10.0,2.0,2.0]]},{"pageNumber":0,"geomIndex":9999,"lastGeomIndex":10010,"textElement":"Zoe ZE50 R110","identifiers":{"ELEMENT_INDICES":"1"},"tableIndex":-1,"rowIndex":116,"cellIndex":1,"fontSize":12,"issueTypeId":"SmallFontSizeIssue:XLSX","dismiss":false,"pageNumbers":[1],"coordinatesList":[[10.0,10.0,2.0,2.0]]},{"pageNumber":0,"geomIndex":10010,"lastGeomIndex":10056,"textElement":"_xlfn.XLOOKUP($B117,Sheet2!$B:$B,Sheet2!$C:$C)","identifiers":{"ELEMENT_INDICES":"1"},"tableIndex":-1,"rowIndex":116,"cellIndex":2,"fontSize":12,"issueTypeId":"SmallFontSizeIssue:XLSX","dismiss":false,"pageNumbers":[1],"coordinatesList":[[10.0,10.0,2.0,2.0]]},{"pageNumber":0,"geomIndex":10056,"lastGeomIndex":10060,"textElement":"1502","identifiers":{"ELEMENT_INDICES":"1"},"tableIndex":-1,"rowIndex":116,"cellIndex":3,"fontSize":12,"issueTypeId":"SmallFontSizeIssue:XLSX","dismiss":false,"pageNumbers":[1],"coordinatesList":[[447.7040100097656,440.13630652427673,61.94598388671875,10.998000144958496]]},{"pageNumber":0,"geomIndex":10060,"lastGeomIndex":10063,"textElement":"135","identifiers":{"ELEMENT_INDICES":"1"},"tableIndex":-1,"rowIndex":116,"cellIndex":4,"fontSize":12,"issueTypeId":"SmallFontSizeIssue:XLSX","dismiss":false,"pageNumbers":[1],"coordinatesList":[[398.7019958496094,230.2032926082611,16.69500732421875,10.998000144958496]]},{"pageNumber":0,"geomIndex":10063,"lastGeomIndex":10066,"textElement":"315","identifiers":{"ELEMENT_INDICES":"1"},"tableIndex":-1,"rowIndex":116,"cellIndex":5,"fontSize":12,"issueTypeId":"SmallFontSizeIssue:XLSX","dismiss":false,"pageNumbers":[1],"coordinatesList":[[409.8320007324219,545.1033170223236,49.00201416015625,10.998000144958496]]},{"pageNumber":0,"geomIndex":10066,"lastGeomIndex":10070,"textElement":"11.4","identifiers":{"ELEMENT_INDICES":"1"},"tableIndex":-1,"rowIndex":116,"cellIndex":6,"fontSize":12,"issueTypeId":"SmallFontSizeIssue:XLSX","dismiss":false,"pageNumbers":[1],"coordinatesList":[[10.0,10.0,2.0,2.0]]},{"pageNumber":0,"geomIndex":10070,"lastGeomIndex":10073,"textElement":"165","identifiers":{"ELEMENT_INDICES":"1"},"tableIndex":-1,"rowIndex":116,"cellIndex":7,"fontSize":12,"issueTypeId":"SmallFontSizeIssue:XLSX","dismiss":false,"pageNumbers":[1],"coordinatesList":[[10.0,10.0,2.0,2.0]]},{"pageNumber":0,"geomIndex":10073,"lastGeomIndex":10078,"textElement":"31184","identifiers":{"ELEMENT_INDICES":"1"},"tableIndex":-1,"rowIndex":116,"cellIndex":8,"fontSize":12,"issueTypeId":"SmallFontSizeIssue:XLSX","dismiss":false,"pageNumbers":[1],"coordinatesList":[[10.0,10.0,2.0,2.0]]},{"pageNumber":0,"geomIndex":10078,"lastGeomIndex":10084,"textElement":"France","identifiers":{"ELEMENT_INDICES":"1"},"tableIndex":-1,"rowIndex":116,"cellIndex":9,"fontSize":12,"issueTypeId":"SmallFontSizeIssue:XLSX","dismiss":false,"pageNumbers":[1],"coordinatesList":[[10.0,10.0,2.0,2.0]]},{"pageNumber":0,"geomIndex":10084,"lastGeomIndex":10090,"textElement":"Europe","identifiers":{"ELEMENT_INDICES":"1"},"tableIndex":-1,"rowIndex":116,"cellIndex":10,"fontSize":12,"issueTypeId":"SmallFontSizeIssue:XLSX","dismiss":false,"pageNumbers":[1],"coordinatesList":[[10.0,10.0,2.0,2.0]]},{"pageNumber":0,"geomIndex":10090,"lastGeomIndex":10097,"textElement":"Renault","identifiers":{"ELEMENT_INDICES":"1"},"tableIndex":-1,"rowIndex":117,"cellIndex":0,"fontSize":12,"issueTypeId":"SmallFontSizeIssue:XLSX","dismiss":false,"pageNumbers":[1],"coordinatesList":[[10.0,10.0,2.0,2.0]]},{"pageNumber":0,"geomIndex":10097,"lastGeomIndex":10108,"textElement":"Zoe ZE50 R135","identifiers":{"ELEMENT_INDICES":"1"},"tableIndex":-1,"rowIndex":117,"cellIndex":1,"fontSize":12,"issueTypeId":"SmallFontSizeIssue:XLSX","dismiss":false,"pageNumbers":[1],"coordinatesList":[[10.0,10.0,2.0,2.0]]},{"pageNumber":0,"geomIndex":10108,"lastGeomIndex":10154,"textElement":"_xlfn.XLOOKUP($B118,Sheet2!$B:$B,Sheet2!$C:$C)","identifiers":{"ELEMENT_INDICES":"1"},"tableIndex":-1,"rowIndex":117,"cellIndex":2,"fontSize":12,"issueTypeId":"SmallFontSizeIssue:XLSX","dismiss":false,"pageNumbers":[1],"coordinatesList":[[10.0,10.0,2.0,2.0]]},{"pageNumber":0,"geomIndex":10154,"lastGeomIndex":10158,"textElement":"1502","identifiers":{"ELEMENT_INDICES":"1"},"tableIndex":-1,"rowIndex":117,"cellIndex":3,"fontSize":12,"issueTypeId":"SmallFontSizeIssue:XLSX","dismiss":false,"pageNumbers":[1],"coordinatesList":[[447.7040100097656,440.13630652427673,61.94598388671875,10.998000144958496]]},{"pageNumber":0,"geomIndex":10158,"lastGeomIndex":10161,"textElement":"140","identifiers":{"ELEMENT_INDICES":"1"},"tableIndex":-1,"rowIndex":117,"cellIndex":4,"fontSize":12,"issueTypeId":"SmallFontSizeIssue:XLSX","dismiss":false,"pageNumbers":[1],"coordinatesList":[[10.0,10.0,2.0,2.0]]},{"pageNumber":0,"geomIndex":10161,"lastGeomIndex":10164,"textElement":"310","identifiers":{"ELEMENT_INDICES":"1"},"tableIndex":-1,"rowIndex":117,"cellIndex":5,"fontSize":12,"issueTypeId":"SmallFontSizeIssue:XLSX","dismiss":false,"pageNumbers":[1],"coordinatesList":[[10.0,10.0,2.0,2.0]]},{"pageNumber":0,"geomIndex":10164,"lastGeomIndex":10167,"textElement":"9.5","identifiers":{"ELEMENT_INDICES":"1"},"tableIndex":-1,"rowIndex":117,"cellIndex":6,"fontSize":12,"issueTypeId":"SmallFontSizeIssue:XLSX","dismiss":false,"pageNumbers":[1],"coordinatesList":[[10.0,10.0,2.0,2.0]]},{"pageNumber":0,"geomIndex":10167,"lastGeomIndex":10170,"textElement":"168","identifiers":{"ELEMENT_INDICES":"1"},"tableIndex":-1,"rowIndex":117,"cellIndex":7,"fontSize":12,"issueTypeId":"SmallFontSizeIssue:XLSX","dismiss":false,"pageNumbers":[1],"coordinatesList":[[10.0,10.0,2.0,2.0]]},{"pageNumber":0,"geomIndex":10170,"lastGeomIndex":10175,"textElement":"33133","identifiers":{"ELEMENT_INDICES":"1"},"tableIndex":-1,"rowIndex":117,"cellIndex":8,"fontSize":12,"issueTypeId":"SmallFontSizeIssue:XLSX","dismiss":false,"pageNumbers":[1],"coordinatesList":[[10.0,10.0,2.0,2.0]]},{"pageNumber":0,"geomIndex":10175,"lastGeomIndex":10181,"textElement":"France","identifiers":{"ELEMENT_INDICES":"1"},"tableIndex":-1,"rowIndex":117,"cellIndex":9,"fontSize":12,"issueTypeId":"SmallFontSizeIssue:XLSX","dismiss":false,"pageNumbers":[1],"coordinatesList":[[10.0,10.0,2.0,2.0]]},{"pageNumber":0,"geomIndex":10181,"lastGeomIndex":10187,"textElement":"Europe","identifiers":{"ELEMENT_INDICES":"1"},"tableIndex":-1,"rowIndex":117,"cellIndex":10,"fontSize":12,"issueTypeId":"SmallFontSizeIssue:XLSX","dismiss":false,"pageNumbers":[1],"coordinatesList":[[10.0,10.0,2.0,2.0]]},{"pageNumber":0,"geomIndex":10187,"lastGeomIndex":10189,"textElement":"MG","identifiers":{"ELEMENT_INDICES":"1"},"tableIndex":-1,"rowIndex":118,"cellIndex":0,"fontSize":12,"issueTypeId":"SmallFontSizeIssue:XLSX","dismiss":false,"pageNumbers":[1],"coordinatesList":[[10.0,10.0,2.0,2.0]]},{"pageNumber":0,"geomIndex":10189,"lastGeomIndex":10193,"textElement":"ZS EV","identifiers":{"ELEMENT_INDICES":"1"},"tableIndex":-1,"rowIndex":118,"cellIndex":1,"fontSize":12,"issueTypeId":"SmallFontSizeIssue:XLSX","dismiss":false,"pageNumbers":[1],"coordinatesList":[[10.0,10.0,2.0,2.0]]},{"pageNumber":0,"geomIndex":10193,"lastGeomIndex":10239,"textElement":"_xlfn.XLOOKUP($B119,Sheet2!$B:$B,Sheet2!$C:$C)","identifiers":{"ELEMENT_INDICES":"1"},"tableIndex":-1,"rowIndex":118,"cellIndex":2,"fontSize":12,"issueTypeId":"SmallFontSizeIssue:XLSX","dismiss":false,"pageNumbers":[1],"coordinatesList":[[10.0,10.0,2.0,2.0]]},{"pageNumber":0,"geomIndex":10239,"lastGeomIndex":10243,"textElement":"1518","identifiers":{"ELEMENT_INDICES":"1"},"tableIndex":-1,"rowIndex":118,"cellIndex":3,"fontSize":12,"issueTypeId":"SmallFontSizeIssue:XLSX","dismiss":false,"pageNumbers":[1],"coordinatesList":[[10.0,10.0,2.0,2.0]]},{"pageNumber":0,"geomIndex":10243,"lastGeomIndex":10246,"textElement":"140","identifiers":{"ELEMENT_INDICES":"1"},"tableIndex":-1,"rowIndex":118,"cellIndex":4,"fontSize":12,"issueTypeId":"SmallFontSizeIssue:XLSX","dismiss":false,"pageNumbers":[1],"coordinatesList":[[10.0,10.0,2.0,2.0]]},{"pageNumber":0,"geomIndex":10246,"lastGeomIndex":10249,"textElement":"220","identifiers":{"ELEMENT_INDICES":"1"},"tableIndex":-1,"rowIndex":118,"cellIndex":5,"fontSize":12,"issueTypeId":"SmallFontSizeIssue:XLSX","dismiss":false,"pageNumbers":[1],"coordinatesList":[[257.3009948730469,95.24528479576111,97.98300170898438,10.998000144958496]]},{"pageNumber":0,"geomIndex":10249,"lastGeomIndex":10252,"textElement":"8.2","identifiers":{"ELEMENT_INDICES":"1"},"tableIndex":-1,"rowIndex":118,"cellIndex":6,"fontSize":12,"issueTypeId":"SmallFontSizeIssue:XLSX","dismiss":false,"pageNumbers":[1],"coordinatesList":[[10.0,10.0,2.0,2.0]]},{"pageNumber":0,"geomIndex":10252,"lastGeomIndex":10255,"textElement":"193","identifiers":{"ELEMENT_INDICES":"1"},"tableIndex":-1,"rowIndex":118,"cellIndex":7,"fontSize":12,"issueTypeId":"SmallFontSizeIssue:XLSX","dismiss":false,"pageNumbers":[1],"coordinatesList":[[10.0,10.0,2.0,2.0]]},{"pageNumber":0,"geomIndex":10255,"lastGeomIndex":10260,"textElement":"30000","identifiers":{"ELEMENT_INDICES":"1"},"tableIndex":-1,"rowIndex":118,"cellIndex":8,"fontSize":12,"issueTypeId":"SmallFontSizeIssue:XLSX","dismiss":false,"pageNumbers":[1],"coordinatesList":[[10.0,10.0,2.0,2.0]]},{"pageNumber":0,"geomIndex":10260,"lastGeomIndex":10262,"textElement":"UK","identifiers":{"ELEMENT_INDICES":"1"},"tableIndex":-1,"rowIndex":118,"cellIndex":9,"fontSize":12,"issueTypeId":"SmallFontSizeIssue:XLSX","dismiss":false,"pageNumbers":[1],"coordinatesList":[[10.0,10.0,2.0,2.0]]},{"pageNumber":0,"geomIndex":10262,"lastGeomIndex":10268,"textElement":"Europe","identifiers":{"ELEMENT_INDICES":"1"},"tableIndex":-1,"rowIndex":118,"cellIndex":10,"fontSize":12,"issueTypeId":"SmallFontSizeIssue:XLSX","dismiss":false,"pageNumbers":[1],"coordinatesList":[[10.0,10.0,2.0,2.0]]},{"pageNumber":0,"geomIndex":5,"lastGeomIndex":29,"textElement":"Model 3 Long Range Dual Motor","identifiers":{"ELEMENT_INDICES":"2"},"tableIndex":-1,"rowIndex":0,"cellIndex":1,"fontSize":12,"issueTypeId":"SmallFontSizeIssue:XLSX","dismiss":false,"pageNumbers":[2],"coordinatesList":[[10.0,10.0,2.0,2.0]]},{"pageNumber":0,"geomIndex":33,"lastGeomIndex":43,"textElement":"Volkswagen","identifiers":{"ELEMENT_INDICES":"2"},"tableIndex":-1,"rowIndex":1,"cellIndex":0,"fontSize":12,"issueTypeId":"SmallFontSizeIssue:XLSX","dismiss":false,"pageNumbers":[2],"coordinatesList":[[10.0,10.0,2.0,2.0]]},{"pageNumber":0,"geomIndex":43,"lastGeomIndex":51,"textElement":"ID.3 Pure","identifiers":{"ELEMENT_INDICES":"2"},"tableIndex":-1,"rowIndex":1,"cellIndex":1,"fontSize":12,"issueTypeId":"SmallFontSizeIssue:XLSX","dismiss":false,"pageNumbers":[2],"coordinatesList":[[10.0,10.0,2.0,2.0]]},{"pageNumber":0,"geomIndex":68,"lastGeomIndex":71,"textElement":"BMW","identifiers":{"ELEMENT_INDICES":"2"},"tableIndex":-1,"rowIndex":3,"cellIndex":0,"fontSize":12,"issueTypeId":"SmallFontSizeIssue:XLSX","dismiss":false,"pageNumbers":[2],"coordinatesList":[[10.0,10.0,2.0,2.0]]},{"pageNumber":0,"geomIndex":71,"lastGeomIndex":74,"textElement":"iX3","identifiers":{"ELEMENT_INDICES":"2"},"tableIndex":-1,"rowIndex":3,"cellIndex":1,"fontSize":12,"issueTypeId":"SmallFontSizeIssue:XLSX","dismiss":false,"pageNumbers":[2],"coordinatesList":[[10.0,10.0,2.0,2.0]]},{"pageNumber":0,"geomIndex":100,"lastGeomIndex":110,"textElement":"Volkswagen","identifiers":{"ELEMENT_INDICES":"2"},"tableIndex":-1,"rowIndex":6,"cellIndex":0,"fontSize":12,"issueTypeId":"SmallFontSizeIssue:XLSX","dismiss":false,"pageNumbers":[2],"coordinatesList":[[10.0,10.0,2.0,2.0]]},{"pageNumber":0,"geomIndex":141,"lastGeomIndex":164,"textElement":"Model 3 Standard Range Plus","identifiers":{"ELEMENT_INDICES":"2"},"tableIndex":-1,"rowIndex":8,"cellIndex":1,"fontSize":12,"issueTypeId":"SmallFontSizeIssue:XLSX","dismiss":false,"pageNumbers":[2],"coordinatesList":[[10.0,10.0,2.0,2.0]]},{"pageNumber":0,"geomIndex":172,"lastGeomIndex":180,"textElement":"Q4 e-tron","identifiers":{"ELEMENT_INDICES":"2"},"tableIndex":-1,"rowIndex":9,"cellIndex":1,"fontSize":12,"issueTypeId":"SmallFontSizeIssue:XLSX","dismiss":false,"pageNumbers":[2],"coordinatesList":[[10.0,10.0,2.0,2.0]]},{"pageNumber":0,"geomIndex":184,"lastGeomIndex":192,"textElement":"Mercedes","identifiers":{"ELEMENT_INDICES":"2"},"tableIndex":-1,"rowIndex":10,"cellIndex":0,"fontSize":12,"issueTypeId":"SmallFontSizeIssue:XLSX","dismiss":false,"pageNumbers":[2],"coordinatesList":[[10.0,10.0,2.0,2.0]]},{"pageNumber":0,"geomIndex":192,"lastGeomIndex":204,"textElement":"EQC 400 4MATIC","identifiers":{"ELEMENT_INDICES":"2"},"tableIndex":-1,"rowIndex":10,"cellIndex":1,"fontSize":12,"issueTypeId":"SmallFontSizeIssue:XLSX","dismiss":false,"pageNumbers":[2],"coordinatesList":[[10.0,10.0,2.0,2.0]]},{"pageNumber":0,"geomIndex":214,"lastGeomIndex":218,"textElement":"Leaf","identifiers":{"ELEMENT_INDICES":"2"},"tableIndex":-1,"rowIndex":11,"cellIndex":1,"fontSize":12,"issueTypeId":"SmallFontSizeIssue:XLSX","dismiss":false,"pageNumbers":[2],"coordinatesList":[[10.0,10.0,2.0,2.0]]},{"pageNumber":0,"geomIndex":218,"lastGeomIndex":222,"textElement":"2010","identifiers":{"ELEMENT_INDICES":"2"},"tableIndex":-1,"rowIndex":11,"cellIndex":2,"fontSize":12,"issueTypeId":"SmallFontSizeIssue:XLSX","dismiss":false,"pageNumbers":[2],"coordinatesList":[[10.0,10.0,2.0,2.0]]},{"pageNumber":0,"geomIndex":222,"lastGeomIndex":229,"textElement":"Hyundai","identifiers":{"ELEMENT_INDICES":"2"},"tableIndex":-1,"rowIndex":12,"cellIndex":0,"fontSize":12,"issueTypeId":"SmallFontSizeIssue:XLSX","dismiss":false,"pageNumbers":[2],"coordinatesList":[[10.0,10.0,2.0,2.0]]},{"pageNumber":0,"geomIndex":229,"lastGeomIndex":246,"textElement":"Kona Electric 64 kWh","identifiers":{"ELEMENT_INDICES":"2"},"tableIndex":-1,"rowIndex":12,"cellIndex":1,"fontSize":12,"issueTypeId":"SmallFontSizeIssue:XLSX","dismiss":false,"pageNumbers":[2],"coordinatesList":[[10.0,10.0,2.0,2.0]]},{"pageNumber":0,"geomIndex":250,"lastGeomIndex":253,"textElement":"BMW","identifiers":{"ELEMENT_INDICES":"2"},"tableIndex":-1,"rowIndex":13,"cellIndex":0,"fontSize":12,"issueTypeId":"SmallFontSizeIssue:XLSX","dismiss":false,"pageNumbers":[2],"coordinatesList":[[10.0,10.0,2.0,2.0]]},{"pageNumber":0,"geomIndex":253,"lastGeomIndex":255,"textElement":"i4","identifiers":{"ELEMENT_INDICES":"2"},"tableIndex":-1,"rowIndex":13,"cellIndex":1,"fontSize":12,"issueTypeId":"SmallFontSizeIssue:XLSX","dismiss":false,"pageNumbers":[2],"coordinatesList":[[10.0,10.0,2.0,2.0]]},{"pageNumber":0,"geomIndex":259,"lastGeomIndex":266,"textElement":"Hyundai","identifiers":{"ELEMENT_INDICES":"2"},"tableIndex":-1,"rowIndex":14,"cellIndex":0,"fontSize":12,"issueTypeId":"SmallFontSizeIssue:XLSX","dismiss":false,"pageNumbers":[2],"coordinatesList":[[10.0,10.0,2.0,2.0]]},{"pageNumber":0,"geomIndex":266,"lastGeomIndex":279,"textElement":"IONIQ Electric","identifiers":{"ELEMENT_INDICES":"2"},"tableIndex":-1,"rowIndex":14,"cellIndex":1,"fontSize":12,"issueTypeId":"SmallFontSizeIssue:XLSX","dismiss":false,"pageNumbers":[2],"coordinatesList":[[10.0,10.0,2.0,2.0]]},{"pageNumber":0,"geomIndex":279,"lastGeomIndex":283,"textElement":"2016","identifiers":{"ELEMENT_INDICES":"2"},"tableIndex":-1,"rowIndex":14,"cellIndex":2,"fontSize":12,"issueTypeId":"SmallFontSizeIssue:XLSX","dismiss":false,"pageNumbers":[2],"coordinatesList":[[10.0,10.0,2.0,2.0]]},{"pageNumber":0,"geomIndex":283,"lastGeomIndex":293,"textElement":"Volkswagen","identifiers":{"ELEMENT_INDICES":"2"},"tableIndex":-1,"rowIndex":15,"cellIndex":0,"fontSize":12,"issueTypeId":"SmallFontSizeIssue:XLSX","dismiss":false,"pageNumbers":[2],"coordinatesList":[[10.0,10.0,2.0,2.0]]},{"pageNumber":0,"geomIndex":293,"lastGeomIndex":301,"textElement":"ID.3 Pro S","identifiers":{"ELEMENT_INDICES":"2"},"tableIndex":-1,"rowIndex":15,"cellIndex":1,"fontSize":12,"issueTypeId":"SmallFontSizeIssue:XLSX","dismiss":false,"pageNumbers":[2],"coordinatesList":[[10.0,10.0,2.0,2.0]]},{"pageNumber":0,"geomIndex":305,"lastGeomIndex":312,"textElement":"Porsche","identifiers":{"ELEMENT_INDICES":"2"},"tableIndex":-1,"rowIndex":16,"cellIndex":0,"fontSize":12,"issueTypeId":"SmallFontSizeIssue:XLSX","dismiss":false,"pageNumbers":[2],"coordinatesList":[[10.0,10.0,2.0,2.0]]},{"pageNumber":0,"geomIndex":312,"lastGeomIndex":324,"textElement":"Taycan Turbo S","identifiers":{"ELEMENT_INDICES":"2"},"tableIndex":-1,"rowIndex":16,"cellIndex":1,"fontSize":12,"issueTypeId":"SmallFontSizeIssue:XLSX","dismiss":false,"pageNumbers":[2],"coordinatesList":[[10.0,10.0,2.0,2.0]]},{"pageNumber":0,"geomIndex":328,"lastGeomIndex":338,"textElement":"Volkswagen","identifiers":{"ELEMENT_INDICES":"2"},"tableIndex":-1,"rowIndex":17,"cellIndex":0,"fontSize":12,"issueTypeId":"SmallFontSizeIssue:XLSX","dismiss":false,"pageNumbers":[2],"coordinatesList":[[10.0,10.0,2.0,2.0]]},{"pageNumber":0,"geomIndex":347,"lastGeomIndex":349,"textElement":"MG","identifiers":{"ELEMENT_INDICES":"2"},"tableIndex":-1,"rowIndex":18,"cellIndex":0,"fontSize":12,"issueTypeId":"SmallFontSizeIssue:XLSX","dismiss":false,"pageNumbers":[2],"coordinatesList":[[10.0,10.0,2.0,2.0]]},{"pageNumber":0,"geomIndex":349,"lastGeomIndex":353,"textElement":"ZS EV","identifiers":{"ELEMENT_INDICES":"2"},"tableIndex":-1,"rowIndex":18,"cellIndex":1,"fontSize":12,"issueTypeId":"SmallFontSizeIssue:XLSX","dismiss":false,"pageNumbers":[2],"coordinatesList":[[10.0,10.0,2.0,2.0]]},{"pageNumber":0,"geomIndex":393,"lastGeomIndex":417,"textElement":"Model Y Long Range Dual Motor","identifiers":{"ELEMENT_INDICES":"2"},"tableIndex":-1,"rowIndex":21,"cellIndex":1,"fontSize":12,"issueTypeId":"SmallFontSizeIssue:XLSX","dismiss":false,"pageNumbers":[2],"coordinatesList":[[10.0,10.0,2.0,2.0]]},{"pageNumber":0,"geomIndex":460,"lastGeomIndex":486,"textElement":"Model 3 Long Range Performance","identifiers":{"ELEMENT_INDICES":"2"},"tableIndex":-1,"rowIndex":24,"cellIndex":1,"fontSize":12,"issueTypeId":"SmallFontSizeIssue:XLSX","dismiss":false,"pageNumbers":[2],"coordinatesList":[[10.0,10.0,2.0,2.0]]},{"pageNumber":0,"geomIndex":490,"lastGeomIndex":500,"textElement":"Volkswagen","identifiers":{"ELEMENT_INDICES":"2"},"tableIndex":-1,"rowIndex":25,"cellIndex":0,"fontSize":12,"issueTypeId":"SmallFontSizeIssue:XLSX","dismiss":false,"pageNumbers":[2],"coordinatesList":[[10.0,10.0,2.0,2.0]]},{"pageNumber":0,"geomIndex":500,"lastGeomIndex":504,"textElement":"ID.4","identifiers":{"ELEMENT_INDICES":"2"},"tableIndex":-1,"rowIndex":25,"cellIndex":1,"fontSize":12,"issueTypeId":"SmallFontSizeIssue:XLSX","dismiss":false,"pageNumbers":[2],"coordinatesList":[[10.0,10.0,2.0,2.0]]},{"pageNumber":0,"geomIndex":508,"lastGeomIndex":518,"textElement":"Volkswagen","identifiers":{"ELEMENT_INDICES":"2"},"tableIndex":-1,"rowIndex":26,"cellIndex":0,"fontSize":12,"issueTypeId":"SmallFontSizeIssue:XLSX","dismiss":false,"pageNumbers":[2],"coordinatesList":[[10.0,10.0,2.0,2.0]]},{"pageNumber":0,"geomIndex":518,"lastGeomIndex":525,"textElement":"ID.3 Pro","identifiers":{"ELEMENT_INDICES":"2"},"tableIndex":-1,"rowIndex":26,"cellIndex":1,"fontSize":12,"issueTypeId":"SmallFontSizeIssue:XLSX","dismiss":false,"pageNumbers":[2],"coordinatesList":[[10.0,10.0,2.0,2.0]]},{"pageNumber":0,"geomIndex":529,"lastGeomIndex":534,"textElement":"Volvo","identifiers":{"ELEMENT_INDICES":"2"},"tableIndex":-1,"rowIndex":27,"cellIndex":0,"fontSize":12,"issueTypeId":"SmallFontSizeIssue:XLSX","dismiss":false,"pageNumbers":[2],"coordinatesList":[[10.0,10.0,2.0,2.0]]},{"pageNumber":0,"geomIndex":534,"lastGeomIndex":551,"textElement":"XC40 P8 AWD Recharge","identifiers":{"ELEMENT_INDICES":"2"},"tableIndex":-1,"rowIndex":27,"cellIndex":1,"fontSize":12,"issueTypeId":"SmallFontSizeIssue:XLSX","dismiss":false,"pageNumbers":[2],"coordinatesList":[[10.0,10.0,2.0,2.0]]},{"pageNumber":0,"geomIndex":555,"lastGeomIndex":558,"textElement":"BMW","identifiers":{"ELEMENT_INDICES":"2"},"tableIndex":-1,"rowIndex":28,"cellIndex":0,"fontSize":12,"issueTypeId":"SmallFontSizeIssue:XLSX","dismiss":false,"pageNumbers":[2],"coordinatesList":[[10.0,10.0,2.0,2.0]]},{"pageNumber":0,"geomIndex":558,"lastGeomIndex":565,"textElement":"i3 120 Ah","identifiers":{"ELEMENT_INDICES":"2"},"tableIndex":-1,"rowIndex":28,"cellIndex":1,"fontSize":12,"issueTypeId":"SmallFontSizeIssue:XLSX","dismiss":false,"pageNumbers":[2],"coordinatesList":[[10.0,10.0,2.0,2.0]]},{"pageNumber":0,"geomIndex":630,"lastGeomIndex":637,"textElement":"Renault","identifiers":{"ELEMENT_INDICES":"2"},"tableIndex":-1,"rowIndex":32,"cellIndex":0,"fontSize":12,"issueTypeId":"SmallFontSizeIssue:XLSX","dismiss":false,"pageNumbers":[2],"coordinatesList":[[10.0,10.0,2.0,2.0]]},{"pageNumber":0,"geomIndex":637,"lastGeomIndex":648,"textElement":"Zoe ZE50 R110","identifiers":{"ELEMENT_INDICES":"2"},"tableIndex":-1,"rowIndex":32,"cellIndex":1,"fontSize":12,"issueTypeId":"SmallFontSizeIssue:XLSX","dismiss":false,"pageNumbers":[2],"coordinatesList":[[10.0,10.0,2.0,2.0]]},{"pageNumber":0,"geomIndex":675,"lastGeomIndex":689,"textElement":"Expected in 2024","identifiers":{"ELEMENT_INDICES":"2"},"tableIndex":-1,"rowIndex":33,"cellIndex":2,"fontSize":12,"issueTypeId":"SmallFontSizeIssue:XLSX","dismiss":false,"pageNumbers":[2],"coordinatesList":[[10.0,10.0,2.0,2.0]]},{"pageNumber":0,"geomIndex":689,"lastGeomIndex":694,"textElement":"Mazda","identifiers":{"ELEMENT_INDICES":"2"},"tableIndex":-1,"rowIndex":34,"cellIndex":0,"fontSize":12,"issueTypeId":"SmallFontSizeIssue:XLSX","dismiss":false,"pageNumbers":[2],"coordinatesList":[[10.0,10.0,2.0,2.0]]},{"pageNumber":0,"geomIndex":694,"lastGeomIndex":699,"textElement":"MX-30","identifiers":{"ELEMENT_INDICES":"2"},"tableIndex":-1,"rowIndex":34,"cellIndex":1,"fontSize":12,"issueTypeId":"SmallFontSizeIssue:XLSX","dismiss":false,"pageNumbers":[2],"coordinatesList":[[10.0,10.0,2.0,2.0]]},{"pageNumber":0,"geomIndex":709,"lastGeomIndex":715,"textElement":"Leaf e+","identifiers":{"ELEMENT_INDICES":"2"},"tableIndex":-1,"rowIndex":35,"cellIndex":1,"fontSize":12,"issueTypeId":"SmallFontSizeIssue:XLSX","dismiss":false,"pageNumbers":[2],"coordinatesList":[[10.0,10.0,2.0,2.0]]},{"pageNumber":0,"geomIndex":719,"lastGeomIndex":724,"textElement":"Lexus","identifiers":{"ELEMENT_INDICES":"2"},"tableIndex":-1,"rowIndex":36,"cellIndex":0,"fontSize":12,"issueTypeId":"SmallFontSizeIssue:XLSX","dismiss":false,"pageNumbers":[2],"coordinatesList":[[10.0,10.0,2.0,2.0]]},{"pageNumber":0,"geomIndex":724,"lastGeomIndex":730,"textElement":"UX 300e","identifiers":{"ELEMENT_INDICES":"2"},"tableIndex":-1,"rowIndex":36,"cellIndex":1,"fontSize":12,"issueTypeId":"SmallFontSizeIssue:XLSX","dismiss":false,"pageNumbers":[2],"coordinatesList":[[10.0,10.0,2.0,2.0]]},{"pageNumber":0,"geomIndex":750,"lastGeomIndex":757,"textElement":"Renault","identifiers":{"ELEMENT_INDICES":"2"},"tableIndex":-1,"rowIndex":38,"cellIndex":0,"fontSize":12,"issueTypeId":"SmallFontSizeIssue:XLSX","dismiss":false,"pageNumbers":[2],"coordinatesList":[[10.0,10.0,2.0,2.0]]},{"pageNumber":0,"geomIndex":757,"lastGeomIndex":768,"textElement":"Zoe ZE50 R135","identifiers":{"ELEMENT_INDICES":"2"},"tableIndex":-1,"rowIndex":38,"cellIndex":1,"fontSize":12,"issueTypeId":"SmallFontSizeIssue:XLSX","dismiss":false,"pageNumbers":[2],"coordinatesList":[[10.0,10.0,2.0,2.0]]},{"pageNumber":0,"geomIndex":772,"lastGeomIndex":780,"textElement":"Mercedes","identifiers":{"ELEMENT_INDICES":"2"},"tableIndex":-1,"rowIndex":39,"cellIndex":0,"fontSize":12,"issueTypeId":"SmallFontSizeIssue:XLSX","dismiss":false,"pageNumbers":[2],"coordinatesList":[[10.0,10.0,2.0,2.0]]},{"pageNumber":0,"geomIndex":780,"lastGeomIndex":783,"textElement":"EQA","identifiers":{"ELEMENT_INDICES":"2"},"tableIndex":-1,"rowIndex":39,"cellIndex":1,"fontSize":12,"issueTypeId":"SmallFontSizeIssue:XLSX","dismiss":false,"pageNumbers":[2],"coordinatesList":[[10.0,10.0,2.0,2.0]]},{"pageNumber":0,"geomIndex":792,"lastGeomIndex":807,"textElement":"Model S Long Range","identifiers":{"ELEMENT_INDICES":"2"},"tableIndex":-1,"rowIndex":40,"cellIndex":1,"fontSize":12,"issueTypeId":"SmallFontSizeIssue:XLSX","dismiss":false,"pageNumbers":[2],"coordinatesList":[[10.0,10.0,2.0,2.0]]},{"pageNumber":0,"geomIndex":811,"lastGeomIndex":818,"textElement":"Hyundai","identifiers":{"ELEMENT_INDICES":"2"},"tableIndex":-1,"rowIndex":41,"cellIndex":0,"fontSize":12,"issueTypeId":"SmallFontSizeIssue:XLSX","dismiss":false,"pageNumbers":[2],"coordinatesList":[[10.0,10.0,2.0,2.0]]},{"pageNumber":0,"geomIndex":818,"lastGeomIndex":835,"textElement":"Kona Electric 39 kWh","identifiers":{"ELEMENT_INDICES":"2"},"tableIndex":-1,"rowIndex":41,"cellIndex":1,"fontSize":12,"issueTypeId":"SmallFontSizeIssue:XLSX","dismiss":false,"pageNumbers":[2],"coordinatesList":[[10.0,10.0,2.0,2.0]]},{"pageNumber":0,"geomIndex":889,"lastGeomIndex":893,"textElement":"SEAT","identifiers":{"ELEMENT_INDICES":"2"},"tableIndex":-1,"rowIndex":44,"cellIndex":0,"fontSize":12,"issueTypeId":"SmallFontSizeIssue:XLSX","dismiss":false,"pageNumbers":[2],"coordinatesList":[[10.0,10.0,2.0,2.0]]},{"pageNumber":0,"geomIndex":893,"lastGeomIndex":904,"textElement":"Mii Electric","identifiers":{"ELEMENT_INDICES":"2"},"tableIndex":-1,"rowIndex":44,"cellIndex":1,"fontSize":12,"issueTypeId":"SmallFontSizeIssue:XLSX","dismiss":false,"pageNumbers":[2],"coordinatesList":[[10.0,10.0,2.0,2.0]]},{"pageNumber":0,"geomIndex":942,"lastGeomIndex":949,"textElement":"Porsche","identifiers":{"ELEMENT_INDICES":"2"},"tableIndex":-1,"rowIndex":47,"cellIndex":0,"fontSize":12,"issueTypeId":"SmallFontSizeIssue:XLSX","dismiss":false,"pageNumbers":[2],"coordinatesList":[[10.0,10.0,2.0,2.0]]},{"pageNumber":0,"geomIndex":949,"lastGeomIndex":957,"textElement":"Taycan 4S","identifiers":{"ELEMENT_INDICES":"2"},"tableIndex":-1,"rowIndex":47,"cellIndex":1,"fontSize":12,"issueTypeId":"SmallFontSizeIssue:XLSX","dismiss":false,"pageNumbers":[2],"coordinatesList":[[10.0,10.0,2.0,2.0]]},{"pageNumber":0,"geomIndex":961,"lastGeomIndex":970,"textElement":"Lightyear","identifiers":{"ELEMENT_INDICES":"2"},"tableIndex":-1,"rowIndex":48,"cellIndex":0,"fontSize":12,"issueTypeId":"SmallFontSizeIssue:XLSX","dismiss":false,"pageNumbers":[2],"coordinatesList":[[10.0,10.0,2.0,2.0]]},{"pageNumber":0,"geomIndex":970,"lastGeomIndex":973,"textElement":"One","identifiers":{"ELEMENT_INDICES":"2"},"tableIndex":-1,"rowIndex":48,"cellIndex":1,"fontSize":12,"issueTypeId":"SmallFontSizeIssue:XLSX","dismiss":false,"pageNumbers":[2],"coordinatesList":[[10.0,10.0,2.0,2.0]]},{"pageNumber":0,"geomIndex":973,"lastGeomIndex":987,"textElement":"Expected in 2024","identifiers":{"ELEMENT_INDICES":"2"},"tableIndex":-1,"rowIndex":48,"cellIndex":2,"fontSize":12,"issueTypeId":"SmallFontSizeIssue:XLSX","dismiss":false,"pageNumbers":[2],"coordinatesList":[[10.0,10.0,2.0,2.0]]},{"pageNumber":0,"geomIndex":987,"lastGeomIndex":993,"textElement":"Aiways","identifiers":{"ELEMENT_INDICES":"2"},"tableIndex":-1,"rowIndex":49,"cellIndex":0,"fontSize":12,"issueTypeId":"SmallFontSizeIssue:XLSX","dismiss":false,"pageNumbers":[2],"coordinatesList":[[10.0,10.0,2.0,2.0]]},{"pageNumber":0,"geomIndex":993,"lastGeomIndex":995,"textElement":"U5","identifiers":{"ELEMENT_INDICES":"2"},"tableIndex":-1,"rowIndex":49,"cellIndex":1,"fontSize":12,"issueTypeId":"SmallFontSizeIssue:XLSX","dismiss":false,"pageNumbers":[2],"coordinatesList":[[10.0,10.0,2.0,2.0]]},{"pageNumber":0,"geomIndex":1027,"lastGeomIndex":1035,"textElement":"Roadster","identifiers":{"ELEMENT_INDICES":"2"},"tableIndex":-1,"rowIndex":51,"cellIndex":1,"fontSize":12,"issueTypeId":"SmallFontSizeIssue:XLSX","dismiss":false,"pageNumbers":[2],"coordinatesList":[[10.0,10.0,2.0,2.0]]},{"pageNumber":0,"geomIndex":1035,"lastGeomIndex":1049,"textElement":"Expected in 2024","identifiers":{"ELEMENT_INDICES":"2"},"tableIndex":-1,"rowIndex":51,"cellIndex":2,"fontSize":12,"issueTypeId":"SmallFontSizeIssue:XLSX","dismiss":false,"pageNumbers":[2],"coordinatesList":[[10.0,10.0,2.0,2.0]]},{"pageNumber":0,"geomIndex":1053,"lastGeomIndex":1060,"textElement":"Mokka-e","identifiers":{"ELEMENT_INDICES":"2"},"tableIndex":-1,"rowIndex":52,"cellIndex":1,"fontSize":12,"issueTypeId":"SmallFontSizeIssue:XLSX","dismiss":false,"pageNumbers":[2],"coordinatesList":[[10.0,10.0,2.0,2.0]]},{"pageNumber":0,"geomIndex":1087,"lastGeomIndex":1102,"textElement":"Model X Long Range","identifiers":{"ELEMENT_INDICES":"2"},"tableIndex":-1,"rowIndex":54,"cellIndex":1,"fontSize":12,"issueTypeId":"SmallFontSizeIssue:XLSX","dismiss":false,"pageNumbers":[2],"coordinatesList":[[10.0,10.0,2.0,2.0]]},{"pageNumber":0,"geomIndex":1102,"lastGeomIndex":1106,"textElement":"2016","identifiers":{"ELEMENT_INDICES":"2"},"tableIndex":-1,"rowIndex":54,"cellIndex":2,"fontSize":12,"issueTypeId":"SmallFontSizeIssue:XLSX","dismiss":false,"pageNumbers":[2],"coordinatesList":[[10.0,10.0,2.0,2.0]]},{"pageNumber":0,"geomIndex":1146,"lastGeomIndex":1153,"textElement":"Renault","identifiers":{"ELEMENT_INDICES":"2"},"tableIndex":-1,"rowIndex":57,"cellIndex":0,"fontSize":12,"issueTypeId":"SmallFontSizeIssue:XLSX","dismiss":false,"pageNumbers":[2],"coordinatesList":[[10.0,10.0,2.0,2.0]]},{"pageNumber":0,"geomIndex":1153,"lastGeomIndex":1161,"textElement":"Twingo ZE","identifiers":{"ELEMENT_INDICES":"2"},"tableIndex":-1,"rowIndex":57,"cellIndex":1,"fontSize":12,"issueTypeId":"SmallFontSizeIssue:XLSX","dismiss":false,"pageNumbers":[2],"coordinatesList":[[10.0,10.0,2.0,2.0]]},{"pageNumber":0,"geomIndex":1185,"lastGeomIndex":1202,"textElement":"Model S Performance","identifiers":{"ELEMENT_INDICES":"2"},"tableIndex":-1,"rowIndex":59,"cellIndex":1,"fontSize":12,"issueTypeId":"SmallFontSizeIssue:XLSX","dismiss":false,"pageNumbers":[2],"coordinatesList":[[10.0,10.0,2.0,2.0]]},{"pageNumber":0,"geomIndex":1206,"lastGeomIndex":1213,"textElement":"Renault","identifiers":{"ELEMENT_INDICES":"2"},"tableIndex":-1,"rowIndex":60,"cellIndex":0,"fontSize":12,"issueTypeId":"SmallFontSizeIssue:XLSX","dismiss":false,"pageNumbers":[2],"coordinatesList":[[10.0,10.0,2.0,2.0]]},{"pageNumber":0,"geomIndex":1213,"lastGeomIndex":1224,"textElement":"Zoe ZE40 R110","identifiers":{"ELEMENT_INDICES":"2"},"tableIndex":-1,"rowIndex":60,"cellIndex":1,"fontSize":12,"issueTypeId":"SmallFontSizeIssue:XLSX","dismiss":false,"pageNumbers":[2],"coordinatesList":[[10.0,10.0,2.0,2.0]]},{"pageNumber":0,"geomIndex":1233,"lastGeomIndex":1259,"textElement":"Model Y Long Range Performance","identifiers":{"ELEMENT_INDICES":"2"},"tableIndex":-1,"rowIndex":61,"cellIndex":1,"fontSize":12,"issueTypeId":"SmallFontSizeIssue:XLSX","dismiss":false,"pageNumbers":[2],"coordinatesList":[[10.0,10.0,2.0,2.0]]},{"pageNumber":0,"geomIndex":1283,"lastGeomIndex":1289,"textElement":"Jaguar","identifiers":{"ELEMENT_INDICES":"2"},"tableIndex":-1,"rowIndex":63,"cellIndex":0,"fontSize":12,"issueTypeId":"SmallFontSizeIssue:XLSX","dismiss":false,"pageNumbers":[2],"coordinatesList":[[10.0,10.0,2.0,2.0]]},{"pageNumber":0,"geomIndex":1289,"lastGeomIndex":1295,"textElement":"I-Pace","identifiers":{"ELEMENT_INDICES":"2"},"tableIndex":-1,"rowIndex":63,"cellIndex":1,"fontSize":12,"issueTypeId":"SmallFontSizeIssue:XLSX","dismiss":false,"pageNumbers":[2],"coordinatesList":[[10.0,10.0,2.0,2.0]]},{"pageNumber":0,"geomIndex":1299,"lastGeomIndex":1303,"textElement":"Ford","identifiers":{"ELEMENT_INDICES":"2"},"tableIndex":-1,"rowIndex":64,"cellIndex":0,"fontSize":12,"issueTypeId":"SmallFontSizeIssue:XLSX","dismiss":false,"pageNumbers":[2],"coordinatesList":[[10.0,10.0,2.0,2.0]]},{"pageNumber":0,"geomIndex":1303,"lastGeomIndex":1321,"textElement":"Mustang Mach-E ER RWD","identifiers":{"ELEMENT_INDICES":"2"},"tableIndex":-1,"rowIndex":64,"cellIndex":1,"fontSize":12,"issueTypeId":"SmallFontSizeIssue:XLSX","dismiss":false,"pageNumbers":[2],"coordinatesList":[[10.0,10.0,2.0,2.0]]},{"pageNumber":0,"geomIndex":1325,"lastGeomIndex":1332,"textElement":"Porsche","identifiers":{"ELEMENT_INDICES":"2"},"tableIndex":-1,"rowIndex":65,"cellIndex":0,"fontSize":12,"issueTypeId":"SmallFontSizeIssue:XLSX","dismiss":false,"pageNumbers":[2],"coordinatesList":[[10.0,10.0,2.0,2.0]]},{"pageNumber":0,"geomIndex":1332,"lastGeomIndex":1344,"textElement":"Taycan 4S Plus","identifiers":{"ELEMENT_INDICES":"2"},"tableIndex":-1,"rowIndex":65,"cellIndex":1,"fontSize":12,"issueTypeId":"SmallFontSizeIssue:XLSX","dismiss":false,"pageNumbers":[2],"coordinatesList":[[10.0,10.0,2.0,2.0]]},{"pageNumber":0,"geomIndex":1399,"lastGeomIndex":1406,"textElement":"Renault","identifiers":{"ELEMENT_INDICES":"2"},"tableIndex":-1,"rowIndex":68,"cellIndex":0,"fontSize":12,"issueTypeId":"SmallFontSizeIssue:XLSX","dismiss":false,"pageNumbers":[2],"coordinatesList":[[10.0,10.0,2.0,2.0]]},{"pageNumber":0,"geomIndex":1406,"lastGeomIndex":1420,"textElement":"Kangoo Maxi ZE 33","identifiers":{"ELEMENT_INDICES":"2"},"tableIndex":-1,"rowIndex":68,"cellIndex":1,"fontSize":12,"issueTypeId":"SmallFontSizeIssue:XLSX","dismiss":false,"pageNumbers":[2],"coordinatesList":[[10.0,10.0,2.0,2.0]]},{"pageNumber":0,"geomIndex":1420,"lastGeomIndex":1424,"textElement":"2017","identifiers":{"ELEMENT_INDICES":"2"},"tableIndex":-1,"rowIndex":68,"cellIndex":2,"fontSize":12,"issueTypeId":"SmallFontSizeIssue:XLSX","dismiss":false,"pageNumbers":[2],"coordinatesList":[[344.15399169921875,500.118301153183,22.260009765625,10.998000144958496]]},{"pageNumber":0,"geomIndex":1424,"lastGeomIndex":1428,"textElement":"Ford","identifiers":{"ELEMENT_INDICES":"2"},"tableIndex":-1,"rowIndex":69,"cellIndex":0,"fontSize":12,"issueTypeId":"SmallFontSizeIssue:XLSX","dismiss":false,"pageNumbers":[2],"coordinatesList":[[10.0,10.0,2.0,2.0]]},{"pageNumber":0,"geomIndex":1428,"lastGeomIndex":1446,"textElement":"Mustang Mach-E ER AWD","identifiers":{"ELEMENT_INDICES":"2"},"tableIndex":-1,"rowIndex":69,"cellIndex":1,"fontSize":12,"issueTypeId":"SmallFontSizeIssue:XLSX","dismiss":false,"pageNumbers":[2],"coordinatesList":[[10.0,10.0,2.0,2.0]]},{"pageNumber":0,"geomIndex":1441,"lastGeomIndex":1445,"textElement":"1365","identifiers":{"ELEMENT_INDICES":"1"},"tableIndex":-1,"rowIndex":17,"cellIndex":3,"fontSize":12,"issueTypeId":"SmallFontSizeIssue:XLSX","dismiss":false,"pageNumbers":[2],"coordinatesList":[[393.1369934082031,245.1982877254486,22.260009765625,10.998000144958496]]},{"pageNumber":0,"geomIndex":1445,"lastGeomIndex":1448,"textElement":"150","identifiers":{"ELEMENT_INDICES":"1"},"tableIndex":-1,"rowIndex":17,"cellIndex":4,"fontSize":12,"issueTypeId":"SmallFontSizeIssue:XLSX","dismiss":false,"pageNumbers":[2],"coordinatesList":[[447.7040100097656,245.1982877254486,16.69500732421875,10.998000144958496]]},{"pageNumber":0,"geomIndex":1446,"lastGeomIndex":1450,"textElement":"2020","identifiers":{"ELEMENT_INDICES":"2"},"tableIndex":-1,"rowIndex":69,"cellIndex":2,"fontSize":12,"issueTypeId":"SmallFontSizeIssue:XLSX","dismiss":false,"pageNumbers":[2],"coordinatesList":[[344.15399169921875,485.12229895591736,22.260009765625,10.998000144958496]]},{"pageNumber":0,"geomIndex":1448,"lastGeomIndex":1451,"textElement":"185","identifiers":{"ELEMENT_INDICES":"1"},"tableIndex":-1,"rowIndex":17,"cellIndex":5,"fontSize":12,"issueTypeId":"SmallFontSizeIssue:XLSX","dismiss":false,"pageNumbers":[2],"coordinatesList":[[447.7040100097656,440.13630652427673,16.69500732421875,10.998000144958496]]},{"pageNumber":0,"geomIndex":1450,"lastGeomIndex":1453,"textElement":"BMW","identifiers":{"ELEMENT_INDICES":"2"},"tableIndex":-1,"rowIndex":70,"cellIndex":0,"fontSize":12,"issueTypeId":"SmallFontSizeIssue:XLSX","dismiss":false,"pageNumbers":[2],"coordinatesList":[[54.992000579833984,470.12730383872986,25.141422271728516,10.998000144958496]]},{"pageNumber":0,"geomIndex":1453,"lastGeomIndex":1461,"textElement":"i3s 120 Ah","identifiers":{"ELEMENT_INDICES":"2"},"tableIndex":-1,"rowIndex":70,"cellIndex":1,"fontSize":12,"issueTypeId":"SmallFontSizeIssue:XLSX","dismiss":false,"pageNumbers":[2],"coordinatesList":[[103.9749984741211,260.1932828426361,46.18061065673828,10.998000144958496]]},{"pageNumber":0,"geomIndex":1461,"lastGeomIndex":1465,"textElement":"2018","identifiers":{"ELEMENT_INDICES":"2"},"tableIndex":-1,"rowIndex":70,"cellIndex":2,"fontSize":12,"issueTypeId":"SmallFontSizeIssue:XLSX","dismiss":false,"pageNumbers":[2],"coordinatesList":[[344.15399169921875,515.1132962703705,22.260009765625,10.998000144958496]]},{"pageNumber":0,"geomIndex":1465,"lastGeomIndex":1470,"textElement":"Skoda","identifiers":{"ELEMENT_INDICES":"2"},"tableIndex":-1,"rowIndex":71,"cellIndex":0,"fontSize":12,"issueTypeId":"SmallFontSizeIssue:XLSX","dismiss":false,"pageNumbers":[2],"coordinatesList":[[54.992000579833984,80.25028967857361,26.879108428955078,10.998000144958496]]},{"pageNumber":0,"geomIndex":1470,"lastGeomIndex":1480,"textElement":"Enyaq iV 80X","identifiers":{"ELEMENT_INDICES":"2"},"tableIndex":-1,"rowIndex":71,"cellIndex":1,"fontSize":12,"issueTypeId":"SmallFontSizeIssue:XLSX","dismiss":false,"pageNumbers":[2],"coordinatesList":[[10.0,10.0,2.0,2.0]]},{"pageNumber":0,"geomIndex":1470,"lastGeomIndex":1474,"textElement":"Opel","identifiers":{"ELEMENT_INDICES":"1"},"tableIndex":-1,"rowIndex":18,"cellIndex":0,"fontSize":12,"issueTypeId":"SmallFontSizeIssue:XLSX","dismiss":false,"pageNumbers":[2],"coordinatesList":[[54.992000579833984,755.0373075008392,21.039165496826172,10.998000144958496]]},{"pageNumber":0,"geomIndex":1480,"lastGeomIndex":1484,"textElement":"2020","identifiers":{"ELEMENT_INDICES":"2"},"tableIndex":-1,"rowIndex":71,"cellIndex":2,"fontSize":12,"issueTypeId":"SmallFontSizeIssue:XLSX","dismiss":false,"pageNumbers":[2],"coordinatesList":[[344.15399169921875,485.12229895591736,22.260009765625,10.998000144958496]]},{"pageNumber":0,"geomIndex":1484,"lastGeomIndex":1491,"textElement":"Porsche","identifiers":{"ELEMENT_INDICES":"2"},"tableIndex":-1,"rowIndex":72,"cellIndex":0,"fontSize":12,"issueTypeId":"SmallFontSizeIssue:XLSX","dismiss":false,"pageNumbers":[2],"coordinatesList":[[10.0,10.0,2.0,2.0]]},{"pageNumber":0,"geomIndex":1491,"lastGeomIndex":1509,"textElement":"Taycan Cross Turismo","identifiers":{"ELEMENT_INDICES":"2"},"tableIndex":-1,"rowIndex":72,"cellIndex":1,"fontSize":12,"issueTypeId":"SmallFontSizeIssue:XLSX","dismiss":false,"pageNumbers":[2],"coordinatesList":[[10.0,10.0,2.0,2.0]]},{"pageNumber":0,"geomIndex":1509,"lastGeomIndex":1513,"textElement":"2021","identifiers":{"ELEMENT_INDICES":"2"},"tableIndex":-1,"rowIndex":72,"cellIndex":2,"fontSize":12,"issueTypeId":"SmallFontSizeIssue:XLSX","dismiss":false,"pageNumbers":[2],"coordinatesList":[[355.28399658203125,395.15132117271423,48.983001708984375,10.998000144958496]]},{"pageNumber":0,"geomIndex":1513,"lastGeomIndex":1518,"textElement":"Byton","identifiers":{"ELEMENT_INDICES":"2"},"tableIndex":-1,"rowIndex":73,"cellIndex":0,"fontSize":12,"issueTypeId":"SmallFontSizeIssue:XLSX","dismiss":false,"pageNumbers":[2],"coordinatesList":[[54.992000579833984,590.0893094539642,26.186237335205078,10.998000144958496]]},{"pageNumber":0,"geomIndex":1518,"lastGeomIndex":1532,"textElement":"M-Byte 95 kWh 4WD","identifiers":{"ELEMENT_INDICES":"2"},"tableIndex":-1,"rowIndex":73,"cellIndex":1,"fontSize":12,"issueTypeId":"SmallFontSizeIssue:XLSX","dismiss":false,"pageNumbers":[2],"coordinatesList":[[103.9749984741211,590.0893094539642,94.0768814086914,10.998000144958496]]},{"pageNumber":0,"geomIndex":1530,"lastGeomIndex":1533,"textElement":"150","identifiers":{"ELEMENT_INDICES":"1"},"tableIndex":-1,"rowIndex":18,"cellIndex":4,"fontSize":12,"issueTypeId":"SmallFontSizeIssue:XLSX","dismiss":false,"pageNumbers":[2],"coordinatesList":[[447.7040100097656,245.1982877254486,16.69500732421875,10.998000144958496]]},{"pageNumber":0,"geomIndex":1532,"lastGeomIndex":1535,"textElement":"N/A","identifiers":{"ELEMENT_INDICES":"2"},"tableIndex":-1,"rowIndex":73,"cellIndex":2,"fontSize":12,"issueTypeId":"SmallFontSizeIssue:XLSX","dismiss":false,"pageNumbers":[2],"coordinatesList":[[10.0,10.0,2.0,2.0]]},{"pageNumber":0,"geomIndex":1535,"lastGeomIndex":1539,"textElement":"Sono","identifiers":{"ELEMENT_INDICES":"2"},"tableIndex":-1,"rowIndex":74,"cellIndex":0,"fontSize":12,"issueTypeId":"SmallFontSizeIssue:XLSX","dismiss":false,"pageNumbers":[2],"coordinatesList":[[10.0,10.0,2.0,2.0]]},{"pageNumber":0,"geomIndex":1539,"lastGeomIndex":1543,"textElement":"Sion","identifiers":{"ELEMENT_INDICES":"2"},"tableIndex":-1,"rowIndex":74,"cellIndex":1,"fontSize":12,"issueTypeId":"SmallFontSizeIssue:XLSX","dismiss":false,"pageNumbers":[2],"coordinatesList":[[10.0,10.0,2.0,2.0]]},{"pageNumber":0,"geomIndex":1543,"lastGeomIndex":1547,"textElement":"2024","identifiers":{"ELEMENT_INDICES":"2"},"tableIndex":-1,"rowIndex":74,"cellIndex":2,"fontSize":12,"issueTypeId":"SmallFontSizeIssue:XLSX","dismiss":false,"pageNumbers":[2],"coordinatesList":[[344.15399169921875,590.0893094539642,22.260009765625,10.998000144958496]]},{"pageNumber":0,"geomIndex":1547,"lastGeomIndex":1550,"textElement":"Kia","identifiers":{"ELEMENT_INDICES":"2"},"tableIndex":-1,"rowIndex":75,"cellIndex":0,"fontSize":12,"issueTypeId":"SmallFontSizeIssue:XLSX","dismiss":false,"pageNumbers":[2],"coordinatesList":[[54.992000579833984,215.2073209285736,13.494548797607422,10.998000144958496]]},{"pageNumber":0,"geomIndex":1550,"lastGeomIndex":1561,"textElement":"e-Niro 39 kWh","identifiers":{"ELEMENT_INDICES":"2"},"tableIndex":-1,"rowIndex":75,"cellIndex":1,"fontSize":12,"issueTypeId":"SmallFontSizeIssue:XLSX","dismiss":false,"pageNumbers":[2],"coordinatesList":[[10.0,10.0,2.0,2.0]]},{"pageNumber":0,"geomIndex":1560,"lastGeomIndex":1565,"textElement":"Tesla","identifiers":{"ELEMENT_INDICES":"1"},"tableIndex":-1,"rowIndex":19,"cellIndex":0,"fontSize":12,"issueTypeId":"SmallFontSizeIssue:XLSX","dismiss":false,"pageNumbers":[2],"coordinatesList":[[54.992000579833984,620.0803067684174,22.908832550048828,10.998000144958496]]},{"pageNumber":0,"geomIndex":1561,"lastGeomIndex":1565,"textElement":"2018","identifiers":{"ELEMENT_INDICES":"2"},"tableIndex":-1,"rowIndex":75,"cellIndex":2,"fontSize":12,"issueTypeId":"SmallFontSizeIssue:XLSX","dismiss":false,"pageNumbers":[2],"coordinatesList":[[344.15399169921875,515.1132962703705,22.260009765625,10.998000144958496]]},{"pageNumber":0,"geomIndex":1565,"lastGeomIndex":1569,"textElement":"Audi","identifiers":{"ELEMENT_INDICES":"2"},"tableIndex":-1,"rowIndex":76,"cellIndex":0,"fontSize":12,"issueTypeId":"SmallFontSizeIssue:XLSX","dismiss":false,"pageNumbers":[2],"coordinatesList":[[10.0,10.0,2.0,2.0]]},{"pageNumber":0,"geomIndex":1569,"lastGeomIndex":1586,"textElement":"Q4 Sportback e-tron","identifiers":{"ELEMENT_INDICES":"2"},"tableIndex":-1,"rowIndex":76,"cellIndex":1,"fontSize":12,"issueTypeId":"SmallFontSizeIssue:XLSX","dismiss":false,"pageNumbers":[2],"coordinatesList":[[10.0,10.0,2.0,2.0]]},{"pageNumber":0,"geomIndex":1586,"lastGeomIndex":1590,"textElement":"2021","identifiers":{"ELEMENT_INDICES":"2"},"tableIndex":-1,"rowIndex":76,"cellIndex":2,"fontSize":12,"issueTypeId":"SmallFontSizeIssue:XLSX","dismiss":false,"pageNumbers":[2],"coordinatesList":[[355.28399658203125,395.15132117271423,48.983001708984375,10.998000144958496]]},{"pageNumber":0,"geomIndex":1590,"lastGeomIndex":1595,"textElement":"Smart","identifiers":{"ELEMENT_INDICES":"2"},"tableIndex":-1,"rowIndex":77,"cellIndex":0,"fontSize":12,"issueTypeId":"SmallFontSizeIssue:XLSX","dismiss":false,"pageNumbers":[2],"coordinatesList":[[54.992000579833984,125.23631262779236,26.593158721923828,10.998000144958496]]},{"pageNumber":0,"geomIndex":1595,"lastGeomIndex":1604,"textElement":"EQ forfour","identifiers":{"ELEMENT_INDICES":"2"},"tableIndex":-1,"rowIndex":77,"cellIndex":1,"fontSize":12,"issueTypeId":"SmallFontSizeIssue:XLSX","dismiss":false,"pageNumbers":[2],"coordinatesList":[[103.9749984741211,95.24528479576111,46.97246551513672,10.998000144958496]]},{"pageNumber":0,"geomIndex":1604,"lastGeomIndex":1608,"textElement":"2017","identifiers":{"ELEMENT_INDICES":"2"},"tableIndex":-1,"rowIndex":77,"cellIndex":2,"fontSize":12,"issueTypeId":"SmallFontSizeIssue:XLSX","dismiss":false,"pageNumbers":[2],"coordinatesList":[[344.15399169921875,500.118301153183,22.260009765625,10.998000144958496]]},{"pageNumber":0,"geomIndex":1608,"lastGeomIndex":1612,"textElement":"Ford","identifiers":{"ELEMENT_INDICES":"2"},"tableIndex":-1,"rowIndex":78,"cellIndex":0,"fontSize":12,"issueTypeId":"SmallFontSizeIssue:XLSX","dismiss":false,"pageNumbers":[2],"coordinatesList":[[10.0,10.0,2.0,2.0]]},{"pageNumber":0,"geomIndex":1612,"lastGeomIndex":1630,"textElement":"Mustang Mach-E SR AWD","identifiers":{"ELEMENT_INDICES":"2"},"tableIndex":-1,"rowIndex":78,"cellIndex":1,"fontSize":12,"issueTypeId":"SmallFontSizeIssue:XLSX","dismiss":false,"pageNumbers":[2],"coordinatesList":[[10.0,10.0,2.0,2.0]]},{"pageNumber":0,"geomIndex":1630,"lastGeomIndex":1634,"textElement":"2020","identifiers":{"ELEMENT_INDICES":"2"},"tableIndex":-1,"rowIndex":78,"cellIndex":2,"fontSize":12,"issueTypeId":"SmallFontSizeIssue:XLSX","dismiss":false,"pageNumbers":[2],"coordinatesList":[[344.15399169921875,485.12229895591736,22.260009765625,10.998000144958496]]},{"pageNumber":0,"geomIndex":1633,"lastGeomIndex":1636,"textElement":"190","identifiers":{"ELEMENT_INDICES":"1"},"tableIndex":-1,"rowIndex":19,"cellIndex":4,"fontSize":12,"issueTypeId":"SmallFontSizeIssue:XLSX","dismiss":false,"pageNumbers":[2],"coordinatesList":[[447.7040100097656,575.0943143367767,16.69500732421875,10.998000144958496]]},{"pageNumber":0,"geomIndex":1634,"lastGeomIndex":1641,"textElement":"Porsche","identifiers":{"ELEMENT_INDICES":"2"},"tableIndex":-1,"rowIndex":79,"cellIndex":0,"fontSize":12,"issueTypeId":"SmallFontSizeIssue:XLSX","dismiss":false,"pageNumbers":[2],"coordinatesList":[[10.0,10.0,2.0,2.0]]},{"pageNumber":0,"geomIndex":1639,"lastGeomIndex":1640,"textElement":"5","identifiers":{"ELEMENT_INDICES":"1"},"tableIndex":-1,"rowIndex":19,"cellIndex":6,"fontSize":12,"issueTypeId":"SmallFontSizeIssue:XLSX","dismiss":false,"pageNumbers":[2],"coordinatesList":[[504.0849914550781,185.2173306941986,5.56500244140625,10.998000144958496]]},{"pageNumber":0,"geomIndex":1640,"lastGeomIndex":1643,"textElement":"261","identifiers":{"ELEMENT_INDICES":"1"},"tableIndex":-1,"rowIndex":19,"cellIndex":7,"fontSize":12,"issueTypeId":"SmallFontSizeIssue:XLSX","dismiss":false,"pageNumbers":[2],"coordinatesList":[[447.7040100097656,635.0753018856049,16.69500732421875,10.998000144958496]]},{"pageNumber":0,"geomIndex":1641,"lastGeomIndex":1652,"textElement":"Taycan Turbo","identifiers":{"ELEMENT_INDICES":"2"},"tableIndex":-1,"rowIndex":79,"cellIndex":1,"fontSize":12,"issueTypeId":"SmallFontSizeIssue:XLSX","dismiss":false,"pageNumbers":[2],"coordinatesList":[[10.0,10.0,2.0,2.0]]},{"pageNumber":0,"geomIndex":1652,"lastGeomIndex":1656,"textElement":"2019","identifiers":{"ELEMENT_INDICES":"2"},"tableIndex":-1,"rowIndex":79,"cellIndex":2,"fontSize":12,"issueTypeId":"SmallFontSizeIssue:XLSX","dismiss":false,"pageNumbers":[2],"coordinatesList":[[355.28399658203125,365.160293340683,48.983001708984375,10.998000144958496]]},{"pageNumber":0,"geomIndex":1656,"lastGeomIndex":1666,"textElement":"Volkswagen","identifiers":{"ELEMENT_INDICES":"2"},"tableIndex":-1,"rowIndex":80,"cellIndex":0,"fontSize":12,"issueTypeId":"SmallFontSizeIssue:XLSX","dismiss":false,"pageNumbers":[2],"coordinatesList":[[10.0,10.0,2.0,2.0]]},{"pageNumber":0,"geomIndex":1658,"lastGeomIndex":1663,"textElement":"Tesla","identifiers":{"ELEMENT_INDICES":"1"},"tableIndex":-1,"rowIndex":20,"cellIndex":0,"fontSize":12,"issueTypeId":"SmallFontSizeIssue:XLSX","dismiss":false,"pageNumbers":[2],"coordinatesList":[[54.992000579833984,620.0803067684174,22.908832550048828,10.998000144958496]]},{"pageNumber":0,"geomIndex":1666,"lastGeomIndex":1673,"textElement":"ID.3 1st","identifiers":{"ELEMENT_INDICES":"2"},"tableIndex":-1,"rowIndex":80,"cellIndex":1,"fontSize":12,"issueTypeId":"SmallFontSizeIssue:XLSX","dismiss":false,"pageNumbers":[2],"coordinatesList":[[103.9749984741211,320.17430090904236,33.88483428955078,10.998000144958496]]},{"pageNumber":0,"geomIndex":1673,"lastGeomIndex":1677,"textElement":"2020","identifiers":{"ELEMENT_INDICES":"2"},"tableIndex":-1,"rowIndex":80,"cellIndex":2,"fontSize":12,"issueTypeId":"SmallFontSizeIssue:XLSX","dismiss":false,"pageNumbers":[2],"coordinatesList":[[344.15399169921875,485.12229895591736,22.260009765625,10.998000144958496]]},{"pageNumber":0,"geomIndex":1677,"lastGeomIndex":1682,"textElement":"Tesla","identifiers":{"ELEMENT_INDICES":"2"},"tableIndex":-1,"rowIndex":81,"cellIndex":0,"fontSize":12,"issueTypeId":"SmallFontSizeIssue:XLSX","dismiss":false,"pageNumbers":[2],"coordinatesList":[[54.992000579833984,620.0803067684174,22.908832550048828,10.998000144958496]]},{"pageNumber":0,"geomIndex":1682,"lastGeomIndex":1699,"textElement":"Model X Performance","identifiers":{"ELEMENT_INDICES":"2"},"tableIndex":-1,"rowIndex":81,"cellIndex":1,"fontSize":12,"issueTypeId":"SmallFontSizeIssue:XLSX","dismiss":false,"pageNumbers":[2],"coordinatesList":[[103.9749984741211,710.0512998104095,97.49726104736328,10.998000144958496]]},{"pageNumber":0,"geomIndex":1699,"lastGeomIndex":1703,"textElement":"2021","identifiers":{"ELEMENT_INDICES":"2"},"tableIndex":-1,"rowIndex":81,"cellIndex":2,"fontSize":12,"issueTypeId":"SmallFontSizeIssue:XLSX","dismiss":false,"pageNumbers":[2],"coordinatesList":[[355.28399658203125,395.15132117271423,48.983001708984375,10.998000144958496]]},{"pageNumber":0,"geomIndex":1703,"lastGeomIndex":1708,"textElement":"Smart","identifiers":{"ELEMENT_INDICES":"2"},"tableIndex":-1,"rowIndex":82,"cellIndex":0,"fontSize":12,"issueTypeId":"SmallFontSizeIssue:XLSX","dismiss":false,"pageNumbers":[2],"coordinatesList":[[54.992000579833984,125.23631262779236,26.593158721923828,10.998000144958496]]},{"pageNumber":0,"geomIndex":1708,"lastGeomIndex":1721,"textElement":"EQ fortwo coupe","identifiers":{"ELEMENT_INDICES":"2"},"tableIndex":-1,"rowIndex":82,"cellIndex":1,"fontSize":12,"issueTypeId":"SmallFontSizeIssue:XLSX","dismiss":false,"pageNumbers":[2],"coordinatesList":[[103.9749984741211,125.23631262779236,75.47928619384766,10.998000144958496]]},{"pageNumber":0,"geomIndex":1721,"lastGeomIndex":1725,"textElement":"2016","identifiers":{"ELEMENT_INDICES":"2"},"tableIndex":-1,"rowIndex":82,"cellIndex":2,"fontSize":12,"issueTypeId":"SmallFontSizeIssue:XLSX","dismiss":false,"pageNumbers":[2],"coordinatesList":[[344.15399169921875,455.13230872154236,22.260009765625,10.998000144958496]]},{"pageNumber":0,"geomIndex":1725,"lastGeomIndex":1729,"textElement":"Ford","identifiers":{"ELEMENT_INDICES":"2"},"tableIndex":-1,"rowIndex":83,"cellIndex":0,"fontSize":12,"issueTypeId":"SmallFontSizeIssue:XLSX","dismiss":false,"pageNumbers":[2],"coordinatesList":[[10.0,10.0,2.0,2.0]]},{"pageNumber":0,"geomIndex":1729,"lastGeomIndex":1747,"textElement":"Mustang Mach-E SR RWD","identifiers":{"ELEMENT_INDICES":"2"},"tableIndex":-1,"rowIndex":83,"cellIndex":1,"fontSize":12,"issueTypeId":"SmallFontSizeIssue:XLSX","dismiss":false,"pageNumbers":[2],"coordinatesList":[[10.0,10.0,2.0,2.0]]},{"pageNumber":0,"geomIndex":1733,"lastGeomIndex":1736,"textElement":"180","identifiers":{"ELEMENT_INDICES":"1"},"tableIndex":-1,"rowIndex":20,"cellIndex":4,"fontSize":12,"issueTypeId":"SmallFontSizeIssue:XLSX","dismiss":false,"pageNumbers":[2],"coordinatesList":[[447.7040100097656,485.12229895591736,16.69500732421875,10.998000144958496]]},{"pageNumber":0,"geomIndex":1736,"lastGeomIndex":1739,"textElement":"390","identifiers":{"ELEMENT_INDICES":"1"},"tableIndex":-1,"rowIndex":20,"cellIndex":5,"fontSize":12,"issueTypeId":"SmallFontSizeIssue:XLSX","dismiss":false,"pageNumbers":[2],"coordinatesList":[[504.0849914550781,590.0893094539642,16.694976806640625,10.998000144958496]]},{"pageNumber":0,"geomIndex":1739,"lastGeomIndex":1740,"textElement":"7","identifiers":{"ELEMENT_INDICES":"1"},"tableIndex":-1,"rowIndex":20,"cellIndex":6,"fontSize":12,"issueTypeId":"SmallFontSizeIssue:XLSX","dismiss":false,"pageNumbers":[2],"coordinatesList":[[504.0849914550781,410.14631628990173,5.56500244140625,10.998000144958496]]},{"pageNumber":0,"geomIndex":1747,"lastGeomIndex":1751,"textElement":"2020","identifiers":{"ELEMENT_INDICES":"2"},"tableIndex":-1,"rowIndex":83,"cellIndex":2,"fontSize":12,"issueTypeId":"SmallFontSizeIssue:XLSX","dismiss":false,"pageNumbers":[2],"coordinatesList":[[344.15399169921875,485.12229895591736,22.260009765625,10.998000144958496]]},{"pageNumber":0,"geomIndex":1751,"lastGeomIndex":1759,"textElement":"Mercedes","identifiers":{"ELEMENT_INDICES":"2"},"tableIndex":-1,"rowIndex":84,"cellIndex":0,"fontSize":12,"issueTypeId":"SmallFontSizeIssue:XLSX","dismiss":false,"pageNumbers":[2],"coordinatesList":[[54.992000579833984,200.2123258113861,44.33292770385742,10.998000144958496]]},{"pageNumber":0,"geomIndex":1758,"lastGeomIndex":1763,"textElement":"Tesla","identifiers":{"ELEMENT_INDICES":"1"},"tableIndex":-1,"rowIndex":21,"cellIndex":0,"fontSize":12,"issueTypeId":"SmallFontSizeIssue:XLSX","dismiss":false,"pageNumbers":[2],"coordinatesList":[[54.992000579833984,620.0803067684174,22.908832550048828,10.998000144958496]]},{"pageNumber":0,"geomIndex":1759,"lastGeomIndex":1769,"textElement":"EQV 300 Long","identifiers":{"ELEMENT_INDICES":"2"},"tableIndex":-1,"rowIndex":84,"cellIndex":1,"fontSize":12,"issueTypeId":"SmallFontSizeIssue:XLSX","dismiss":false,"pageNumbers":[2],"coordinatesList":[[103.9749984741211,200.2123258113861,62.017738342285156,10.998000144958496]]},{"pageNumber":0,"geomIndex":1769,"lastGeomIndex":1773,"textElement":"2020","identifiers":{"ELEMENT_INDICES":"2"},"tableIndex":-1,"rowIndex":84,"cellIndex":2,"fontSize":12,"issueTypeId":"SmallFontSizeIssue:XLSX","dismiss":false,"pageNumbers":[2],"coordinatesList":[[344.15399169921875,485.12229895591736,22.260009765625,10.998000144958496]]},{"pageNumber":0,"geomIndex":1773,"lastGeomIndex":1777,"textElement":"Fiat","identifiers":{"ELEMENT_INDICES":"2"},"tableIndex":-1,"rowIndex":85,"cellIndex":0,"fontSize":12,"issueTypeId":"SmallFontSizeIssue:XLSX","dismiss":false,"pageNumbers":[2],"coordinatesList":[[10.0,10.0,2.0,2.0]]},{"pageNumber":0,"geomIndex":1777,"lastGeomIndex":1790,"textElement":"500e Hatchback","identifiers":{"ELEMENT_INDICES":"2"},"tableIndex":-1,"rowIndex":85,"cellIndex":1,"fontSize":12,"issueTypeId":"SmallFontSizeIssue:XLSX","dismiss":false,"pageNumbers":[2],"coordinatesList":[[10.0,10.0,2.0,2.0]]},{"pageNumber":0,"geomIndex":1781,"lastGeomIndex":1785,"textElement":"2024","identifiers":{"ELEMENT_INDICES":"1"},"tableIndex":-1,"rowIndex":21,"cellIndex":2,"fontSize":12,"issueTypeId":"SmallFontSizeIssue:XLSX","dismiss":false,"pageNumbers":[2],"coordinatesList":[[344.15399169921875,590.0893094539642,22.260009765625,10.998000144958496]]},{"pageNumber":0,"geomIndex":1789,"lastGeomIndex":1792,"textElement":"210","identifiers":{"ELEMENT_INDICES":"1"},"tableIndex":-1,"rowIndex":21,"cellIndex":4,"fontSize":12,"issueTypeId":"SmallFontSizeIssue:XLSX","dismiss":false,"pageNumbers":[2],"coordinatesList":[[393.1369934082031,410.14631628990173,16.69500732421875,10.998000144958496]]},{"pageNumber":0,"geomIndex":1790,"lastGeomIndex":1794,"textElement":"2020","identifiers":{"ELEMENT_INDICES":"2"},"tableIndex":-1,"rowIndex":85,"cellIndex":2,"fontSize":12,"issueTypeId":"SmallFontSizeIssue:XLSX","dismiss":false,"pageNumbers":[2],"coordinatesList":[[344.15399169921875,485.12229895591736,22.260009765625,10.998000144958496]]},{"pageNumber":0,"geomIndex":1794,"lastGeomIndex":1799,"textElement":"Tesla","identifiers":{"ELEMENT_INDICES":"2"},"tableIndex":-1,"rowIndex":86,"cellIndex":0,"fontSize":12,"issueTypeId":"SmallFontSizeIssue:XLSX","dismiss":false,"pageNumbers":[2],"coordinatesList":[[54.992000579833984,620.0803067684174,22.908832550048828,10.998000144958496]]},{"pageNumber":0,"geomIndex":1795,"lastGeomIndex":1796,"textElement":"3","identifiers":{"ELEMENT_INDICES":"1"},"tableIndex":-1,"rowIndex":21,"cellIndex":6,"fontSize":12,"issueTypeId":"SmallFontSizeIssue:XLSX","dismiss":false,"pageNumbers":[2],"coordinatesList":[[360.8489990234375,440.13630652427673,5.56500244140625,10.998000144958496]]},{"pageNumber":0,"geomIndex":1796,"lastGeomIndex":1799,"textElement":"267","identifiers":{"ELEMENT_INDICES":"1"},"tableIndex":-1,"rowIndex":21,"cellIndex":7,"fontSize":12,"issueTypeId":"SmallFontSizeIssue:XLSX","dismiss":false,"pageNumbers":[2],"coordinatesList":[[393.1369934082031,305.17930579185486,16.69500732421875,10.998000144958496]]},{"pageNumber":0,"geomIndex":1799,"lastGeomIndex":1820,"textElement":"Cybertruck Single Motor","identifiers":{"ELEMENT_INDICES":"2"},"tableIndex":-1,"rowIndex":86,"cellIndex":1,"fontSize":12,"issueTypeId":"SmallFontSizeIssue:XLSX","dismiss":false,"pageNumbers":[2],"coordinatesList":[[10.0,10.0,2.0,2.0]]},{"pageNumber":0,"geomIndex":1819,"lastGeomIndex":1820,"textElement":"e","identifiers":{"ELEMENT_INDICES":"1"},"tableIndex":-1,"rowIndex":22,"cellIndex":1,"fontSize":12,"issueTypeId":"SmallFontSizeIssue:XLSX","dismiss":false,"pageNumbers":[2],"coordinatesList":[[133.74659729003906,455.13230872154236,5.3670196533203125,10.998000144958496]]},{"pageNumber":0,"geomIndex":1820,"lastGeomIndex":1824,"textElement":"2024","identifiers":{"ELEMENT_INDICES":"2"},"tableIndex":-1,"rowIndex":86,"cellIndex":2,"fontSize":12,"issueTypeId":"SmallFontSizeIssue:XLSX","dismiss":false,"pageNumbers":[2],"coordinatesList":[[344.15399169921875,590.0893094539642,22.260009765625,10.998000144958496]]},{"pageNumber":0,"geomIndex":1824,"lastGeomIndex":1828,"textElement":"Audi","identifiers":{"ELEMENT_INDICES":"2"},"tableIndex":-1,"rowIndex":87,"cellIndex":0,"fontSize":12,"issueTypeId":"SmallFontSizeIssue:XLSX","dismiss":false,"pageNumbers":[2],"coordinatesList":[[10.0,10.0,2.0,2.0]]},{"pageNumber":0,"geomIndex":1828,"lastGeomIndex":1852,"textElement":"e-tron Sportback 50 quattro","identifiers":{"ELEMENT_INDICES":"2"},"tableIndex":-1,"rowIndex":87,"cellIndex":1,"fontSize":12,"issueTypeId":"SmallFontSizeIssue:XLSX","dismiss":false,"pageNumbers":[2],"coordinatesList":[[10.0,10.0,2.0,2.0]]},{"pageNumber":0,"geomIndex":1852,"lastGeomIndex":1856,"textElement":"2019","identifiers":{"ELEMENT_INDICES":"2"},"tableIndex":-1,"rowIndex":87,"cellIndex":2,"fontSize":12,"issueTypeId":"SmallFontSizeIssue:XLSX","dismiss":false,"pageNumbers":[2],"coordinatesList":[[355.28399658203125,365.160293340683,48.983001708984375,10.998000144958496]]},{"pageNumber":0,"geomIndex":1856,"lastGeomIndex":1861,"textElement":"Skoda","identifiers":{"ELEMENT_INDICES":"2"},"tableIndex":-1,"rowIndex":88,"cellIndex":0,"fontSize":12,"issueTypeId":"SmallFontSizeIssue:XLSX","dismiss":false,"pageNumbers":[2],"coordinatesList":[[54.992000579833984,80.25028967857361,26.879108428955078,10.998000144958496]]},{"pageNumber":0,"geomIndex":1861,"lastGeomIndex":1871,"textElement":"Enyaq iV vRS","identifiers":{"ELEMENT_INDICES":"2"},"tableIndex":-1,"rowIndex":88,"cellIndex":1,"fontSize":12,"issueTypeId":"SmallFontSizeIssue:XLSX","dismiss":false,"pageNumbers":[2],"coordinatesList":[[103.9749984741211,80.25028967857361,56.848670959472656,10.998000144958496]]},{"pageNumber":0,"geomIndex":1871,"lastGeomIndex":1875,"textElement":"2021","identifiers":{"ELEMENT_INDICES":"2"},"tableIndex":-1,"rowIndex":88,"cellIndex":2,"fontSize":12,"issueTypeId":"SmallFontSizeIssue:XLSX","dismiss":false,"pageNumbers":[2],"coordinatesList":[[355.28399658203125,395.15132117271423,48.983001708984375,10.998000144958496]]},{"pageNumber":0,"geomIndex":1872,"lastGeomIndex":1875,"textElement":"170","identifiers":{"ELEMENT_INDICES":"1"},"tableIndex":-1,"rowIndex":22,"cellIndex":5,"fontSize":12,"issueTypeId":"SmallFontSizeIssue:XLSX","dismiss":false,"pageNumbers":[2],"coordinatesList":[[398.7019958496094,200.2123258113861,16.69500732421875,10.998000144958496]]},{"pageNumber":0,"geomIndex":1875,"lastGeomIndex":1880,"textElement":"Skoda","identifiers":{"ELEMENT_INDICES":"2"},"tableIndex":-1,"rowIndex":89,"cellIndex":0,"fontSize":12,"issueTypeId":"SmallFontSizeIssue:XLSX","dismiss":false,"pageNumbers":[2],"coordinatesList":[[54.992000579833984,80.25028967857361,26.879108428955078,10.998000144958496]]},{"pageNumber":0,"geomIndex":1880,"lastGeomIndex":1889,"textElement":"Enyaq iV 60","identifiers":{"ELEMENT_INDICES":"2"},"tableIndex":-1,"rowIndex":89,"cellIndex":1,"fontSize":12,"issueTypeId":"SmallFontSizeIssue:XLSX","dismiss":false,"pageNumbers":[2],"coordinatesList":[[10.0,10.0,2.0,2.0]]},{"pageNumber":0,"geomIndex":1889,"lastGeomIndex":1893,"textElement":"2020","identifiers":{"ELEMENT_INDICES":"2"},"tableIndex":-1,"rowIndex":89,"cellIndex":2,"fontSize":12,"issueTypeId":"SmallFontSizeIssue:XLSX","dismiss":false,"pageNumbers":[2],"coordinatesList":[[344.15399169921875,485.12229895591736,22.260009765625,10.998000144958496]]},{"pageNumber":0,"geomIndex":1893,"lastGeomIndex":1897,"textElement":"Audi","identifiers":{"ELEMENT_INDICES":"2"},"tableIndex":-1,"rowIndex":90,"cellIndex":0,"fontSize":12,"issueTypeId":"SmallFontSizeIssue:XLSX","dismiss":false,"pageNumbers":[2],"coordinatesList":[[10.0,10.0,2.0,2.0]]},{"pageNumber":0,"geomIndex":1897,"lastGeomIndex":1913,"textElement":"e-tron S 55 quattro","identifiers":{"ELEMENT_INDICES":"2"},"tableIndex":-1,"rowIndex":90,"cellIndex":1,"fontSize":12,"issueTypeId":"SmallFontSizeIssue:XLSX","dismiss":false,"pageNumbers":[2],"coordinatesList":[[10.0,10.0,2.0,2.0]]},{"pageNumber":0,"geomIndex":1913,"lastGeomIndex":1917,"textElement":"2020","identifiers":{"ELEMENT_INDICES":"2"},"tableIndex":-1,"rowIndex":90,"cellIndex":2,"fontSize":12,"issueTypeId":"SmallFontSizeIssue:XLSX","dismiss":false,"pageNumbers":[2],"coordinatesList":[[344.15399169921875,350.1652982234955,22.260009765625,10.998000144958496]]},{"pageNumber":0,"geomIndex":1917,"lastGeomIndex":1922,"textElement":"Smart","identifiers":{"ELEMENT_INDICES":"2"},"tableIndex":-1,"rowIndex":91,"cellIndex":0,"fontSize":12,"issueTypeId":"SmallFontSizeIssue:XLSX","dismiss":false,"pageNumbers":[2],"coordinatesList":[[54.992000579833984,125.23631262779236,26.593158721923828,10.998000144958496]]},{"pageNumber":0,"geomIndex":1922,"lastGeomIndex":1936,"textElement":"EQ fortwo cabrio","identifiers":{"ELEMENT_INDICES":"2"},"tableIndex":-1,"rowIndex":91,"cellIndex":1,"fontSize":12,"issueTypeId":"SmallFontSizeIssue:XLSX","dismiss":false,"pageNumbers":[2],"coordinatesList":[[103.9749984741211,110.24027991294861,75.85320281982422,10.998000144958496]]},{"pageNumber":0,"geomIndex":1936,"lastGeomIndex":1940,"textElement":"2016","identifiers":{"ELEMENT_INDICES":"2"},"tableIndex":-1,"rowIndex":91,"cellIndex":2,"fontSize":12,"issueTypeId":"SmallFontSizeIssue:XLSX","dismiss":false,"pageNumbers":[2],"coordinatesList":[[344.15399169921875,455.13230872154236,22.260009765625,10.998000144958496]]},{"pageNumber":0,"geomIndex":1940,"lastGeomIndex":1943,"textElement":"Kia","identifiers":{"ELEMENT_INDICES":"2"},"tableIndex":-1,"rowIndex":92,"cellIndex":0,"fontSize":12,"issueTypeId":"SmallFontSizeIssue:XLSX","dismiss":false,"pageNumbers":[2],"coordinatesList":[[54.992000579833984,215.2073209285736,13.494548797607422,10.998000144958496]]},{"pageNumber":0,"geomIndex":1943,"lastGeomIndex":1954,"textElement":"e-Soul 64 kWh","identifiers":{"ELEMENT_INDICES":"2"},"tableIndex":-1,"rowIndex":92,"cellIndex":1,"fontSize":12,"issueTypeId":"SmallFontSizeIssue:XLSX","dismiss":false,"pageNumbers":[2],"coordinatesList":[[10.0,10.0,2.0,2.0]]},{"pageNumber":0,"geomIndex":1954,"lastGeomIndex":1958,"textElement":"2019","identifiers":{"ELEMENT_INDICES":"2"},"tableIndex":-1,"rowIndex":92,"cellIndex":2,"fontSize":12,"issueTypeId":"SmallFontSizeIssue:XLSX","dismiss":false,"pageNumbers":[2],"coordinatesList":[[355.28399658203125,365.160293340683,48.983001708984375,10.998000144958496]]},{"pageNumber":0,"geomIndex":1958,"lastGeomIndex":1964,"textElement":"Nissan","identifiers":{"ELEMENT_INDICES":"2"},"tableIndex":-1,"rowIndex":93,"cellIndex":0,"fontSize":12,"issueTypeId":"SmallFontSizeIssue:XLSX","dismiss":false,"pageNumbers":[2],"coordinatesList":[[54.992000579833984,545.1033170223236,29.25467300415039,10.998000144958496]]},{"pageNumber":0,"geomIndex":1960,"lastGeomIndex":1963,"textElement":"170","identifiers":{"ELEMENT_INDICES":"1"},"tableIndex":-1,"rowIndex":23,"cellIndex":5,"fontSize":12,"issueTypeId":"SmallFontSizeIssue:XLSX","dismiss":false,"pageNumbers":[2],"coordinatesList":[[398.7019958496094,200.2123258113861,16.69500732421875,10.998000144958496]]},{"pageNumber":0,"geomIndex":1964,"lastGeomIndex":1981,"textElement":"Ariya e-4ORCE 87kWh","identifiers":{"ELEMENT_INDICES":"2"},"tableIndex":-1,"rowIndex":93,"cellIndex":1,"fontSize":12,"issueTypeId":"SmallFontSizeIssue:XLSX","dismiss":false,"pageNumbers":[2],"coordinatesList":[[10.0,10.0,2.0,2.0]]},{"pageNumber":0,"geomIndex":1981,"lastGeomIndex":1985,"textElement":"2021","identifiers":{"ELEMENT_INDICES":"2"},"tableIndex":-1,"rowIndex":93,"cellIndex":2,"fontSize":12,"issueTypeId":"SmallFontSizeIssue:XLSX","dismiss":false,"pageNumbers":[2],"coordinatesList":[[355.28399658203125,395.15132117271423,48.983001708984375,10.998000144958496]]},{"pageNumber":0,"geomIndex":1985,"lastGeomIndex":1989,"textElement":"Fiat","identifiers":{"ELEMENT_INDICES":"2"},"tableIndex":-1,"rowIndex":94,"cellIndex":0,"fontSize":12,"issueTypeId":"SmallFontSizeIssue:XLSX","dismiss":false,"pageNumbers":[2],"coordinatesList":[[10.0,10.0,2.0,2.0]]},{"pageNumber":0,"geomIndex":1989,"lastGeomIndex":2004,"textElement":"500e Convertible","identifiers":{"ELEMENT_INDICES":"2"},"tableIndex":-1,"rowIndex":94,"cellIndex":1,"fontSize":12,"issueTypeId":"SmallFontSizeIssue:XLSX","dismiss":false,"pageNumbers":[2],"coordinatesList":[[10.0,10.0,2.0,2.0]]},{"pageNumber":0,"geomIndex":2004,"lastGeomIndex":2008,"textElement":"2020","identifiers":{"ELEMENT_INDICES":"2"},"tableIndex":-1,"rowIndex":94,"cellIndex":2,"fontSize":12,"issueTypeId":"SmallFontSizeIssue:XLSX","dismiss":false,"pageNumbers":[2],"coordinatesList":[[344.15399169921875,485.12229895591736,22.260009765625,10.998000144958496]]},{"pageNumber":0,"geomIndex":2008,"lastGeomIndex":2018,"textElement":"Volkswagen","identifiers":{"ELEMENT_INDICES":"2"},"tableIndex":-1,"rowIndex":95,"cellIndex":0,"fontSize":12,"issueTypeId":"SmallFontSizeIssue:XLSX","dismiss":false,"pageNumbers":[2],"coordinatesList":[[10.0,10.0,2.0,2.0]]},{"pageNumber":0,"geomIndex":2018,"lastGeomIndex":2036,"textElement":"ID.3 Pro Performance","identifiers":{"ELEMENT_INDICES":"2"},"tableIndex":-1,"rowIndex":95,"cellIndex":1,"fontSize":12,"issueTypeId":"SmallFontSizeIssue:XLSX","dismiss":false,"pageNumbers":[2],"coordinatesList":[[103.9749984741211,350.1652982234955,96.00153350830078,10.998000144958496]]},{"pageNumber":0,"geomIndex":2036,"lastGeomIndex":2040,"textElement":"2020","identifiers":{"ELEMENT_INDICES":"2"},"tableIndex":-1,"rowIndex":95,"cellIndex":2,"fontSize":12,"issueTypeId":"SmallFontSizeIssue:XLSX","dismiss":false,"pageNumbers":[2],"coordinatesList":[[344.15399169921875,485.12229895591736,22.260009765625,10.998000144958496]]},{"pageNumber":0,"geomIndex":2040,"lastGeomIndex":2043,"textElement":"Kia","identifiers":{"ELEMENT_INDICES":"2"},"tableIndex":-1,"rowIndex":96,"cellIndex":0,"fontSize":12,"issueTypeId":"SmallFontSizeIssue:XLSX","dismiss":false,"pageNumbers":[2],"coordinatesList":[[54.992000579833984,215.2073209285736,13.494548797607422,10.998000144958496]]},{"pageNumber":0,"geomIndex":2043,"lastGeomIndex":2054,"textElement":"e-Soul 39 kWh","identifiers":{"ELEMENT_INDICES":"2"},"tableIndex":-1,"rowIndex":96,"cellIndex":1,"fontSize":12,"issueTypeId":"SmallFontSizeIssue:XLSX","dismiss":false,"pageNumbers":[2],"coordinatesList":[[10.0,10.0,2.0,2.0]]},{"pageNumber":0,"geomIndex":2048,"lastGeomIndex":2051,"textElement":"150","identifiers":{"ELEMENT_INDICES":"1"},"tableIndex":-1,"rowIndex":24,"cellIndex":4,"fontSize":12,"issueTypeId":"SmallFontSizeIssue:XLSX","dismiss":false,"pageNumbers":[2],"coordinatesList":[[447.7040100097656,245.1982877254486,16.69500732421875,10.998000144958496]]},{"pageNumber":0,"geomIndex":2051,"lastGeomIndex":2054,"textElement":"250","identifiers":{"ELEMENT_INDICES":"1"},"tableIndex":-1,"rowIndex":24,"cellIndex":5,"fontSize":12,"issueTypeId":"SmallFontSizeIssue:XLSX","dismiss":false,"pageNumbers":[2],"coordinatesList":[[504.0849914550781,455.13230872154236,16.694976806640625,10.998000144958496]]},{"pageNumber":0,"geomIndex":2054,"lastGeomIndex":2058,"textElement":"2019","identifiers":{"ELEMENT_INDICES":"2"},"tableIndex":-1,"rowIndex":96,"cellIndex":2,"fontSize":12,"issueTypeId":"SmallFontSizeIssue:XLSX","dismiss":false,"pageNumbers":[2],"coordinatesList":[[355.28399658203125,365.160293340683,48.983001708984375,10.998000144958496]]},{"pageNumber":0,"geomIndex":2057,"lastGeomIndex":2060,"textElement":"180","identifiers":{"ELEMENT_INDICES":"1"},"tableIndex":-1,"rowIndex":24,"cellIndex":7,"fontSize":12,"issueTypeId":"SmallFontSizeIssue:XLSX","dismiss":false,"pageNumbers":[2],"coordinatesList":[[447.7040100097656,485.12229895591736,16.69500732421875,10.998000144958496]]},{"pageNumber":0,"geomIndex":2058,"lastGeomIndex":2063,"textElement":"Byton","identifiers":{"ELEMENT_INDICES":"2"},"tableIndex":-1,"rowIndex":97,"cellIndex":0,"fontSize":12,"issueTypeId":"SmallFontSizeIssue:XLSX","dismiss":false,"pageNumbers":[2],"coordinatesList":[[54.992000579833984,590.0893094539642,26.186237335205078,10.998000144958496]]},{"pageNumber":0,"geomIndex":2063,"lastGeomIndex":2077,"textElement":"M-Byte 72 kWh 2WD","identifiers":{"ELEMENT_INDICES":"2"},"tableIndex":-1,"rowIndex":97,"cellIndex":1,"fontSize":12,"issueTypeId":"SmallFontSizeIssue:XLSX","dismiss":false,"pageNumbers":[2],"coordinatesList":[[10.0,10.0,2.0,2.0]]},{"pageNumber":0,"geomIndex":2077,"lastGeomIndex":2080,"textElement":"N/A","identifiers":{"ELEMENT_INDICES":"2"},"tableIndex":-1,"rowIndex":97,"cellIndex":2,"fontSize":12,"issueTypeId":"SmallFontSizeIssue:XLSX","dismiss":false,"pageNumbers":[2],"coordinatesList":[[10.0,10.0,2.0,2.0]]},{"pageNumber":0,"geomIndex":2080,"lastGeomIndex":2086,"textElement":"Nissan","identifiers":{"ELEMENT_INDICES":"2"},"tableIndex":-1,"rowIndex":98,"cellIndex":0,"fontSize":12,"issueTypeId":"SmallFontSizeIssue:XLSX","dismiss":false,"pageNumbers":[2],"coordinatesList":[[54.992000579833984,545.1033170223236,29.25467300415039,10.998000144958496]]},{"pageNumber":0,"geomIndex":2086,"lastGeomIndex":2096,"textElement":"Ariya 63kWh","identifiers":{"ELEMENT_INDICES":"2"},"tableIndex":-1,"rowIndex":98,"cellIndex":1,"fontSize":12,"issueTypeId":"SmallFontSizeIssue:XLSX","dismiss":false,"pageNumbers":[2],"coordinatesList":[[10.0,10.0,2.0,2.0]]},{"pageNumber":0,"geomIndex":2096,"lastGeomIndex":2100,"textElement":"2021","identifiers":{"ELEMENT_INDICES":"2"},"tableIndex":-1,"rowIndex":98,"cellIndex":2,"fontSize":12,"issueTypeId":"SmallFontSizeIssue:XLSX","dismiss":false,"pageNumbers":[2],"coordinatesList":[[355.28399658203125,395.15132117271423,48.983001708984375,10.998000144958496]]},{"pageNumber":0,"geomIndex":2100,"lastGeomIndex":2104,"textElement":"Audi","identifiers":{"ELEMENT_INDICES":"2"},"tableIndex":-1,"rowIndex":99,"cellIndex":0,"fontSize":12,"issueTypeId":"SmallFontSizeIssue:XLSX","dismiss":false,"pageNumbers":[2],"coordinatesList":[[10.0,10.0,2.0,2.0]]},{"pageNumber":0,"geomIndex":2104,"lastGeomIndex":2129,"textElement":"e-tron S Sportback 55 quattro","identifiers":{"ELEMENT_INDICES":"2"},"tableIndex":-1,"rowIndex":99,"cellIndex":1,"fontSize":12,"issueTypeId":"SmallFontSizeIssue:XLSX","dismiss":false,"pageNumbers":[2],"coordinatesList":[[10.0,10.0,2.0,2.0]]},{"pageNumber":0,"geomIndex":2129,"lastGeomIndex":2133,"textElement":"2020","identifiers":{"ELEMENT_INDICES":"2"},"tableIndex":-1,"rowIndex":99,"cellIndex":2,"fontSize":12,"issueTypeId":"SmallFontSizeIssue:XLSX","dismiss":false,"pageNumbers":[2],"coordinatesList":[[344.15399169921875,485.12229895591736,22.260009765625,10.998000144958496]]},{"pageNumber":0,"geomIndex":2133,"lastGeomIndex":2139,"textElement":"Nissan","identifiers":{"ELEMENT_INDICES":"2"},"tableIndex":-1,"rowIndex":100,"cellIndex":0,"fontSize":12,"issueTypeId":"SmallFontSizeIssue:XLSX","dismiss":false,"pageNumbers":[2],"coordinatesList":[[54.992000579833984,545.1033170223236,29.25467300415039,10.998000144958496]]},{"pageNumber":0,"geomIndex":2138,"lastGeomIndex":2141,"textElement":"150","identifiers":{"ELEMENT_INDICES":"1"},"tableIndex":-1,"rowIndex":25,"cellIndex":4,"fontSize":12,"issueTypeId":"SmallFontSizeIssue:XLSX","dismiss":false,"pageNumbers":[2],"coordinatesList":[[447.7040100097656,245.1982877254486,16.69500732421875,10.998000144958496]]},{"pageNumber":0,"geomIndex":2139,"lastGeomIndex":2156,"textElement":"Ariya e-4ORCE 63kWh","identifiers":{"ELEMENT_INDICES":"2"},"tableIndex":-1,"rowIndex":100,"cellIndex":1,"fontSize":12,"issueTypeId":"SmallFontSizeIssue:XLSX","dismiss":false,"pageNumbers":[2],"coordinatesList":[[10.0,10.0,2.0,2.0]]},{"pageNumber":0,"geomIndex":2156,"lastGeomIndex":2160,"textElement":"2021","identifiers":{"ELEMENT_INDICES":"2"},"tableIndex":-1,"rowIndex":100,"cellIndex":2,"fontSize":12,"issueTypeId":"SmallFontSizeIssue:XLSX","dismiss":false,"pageNumbers":[2],"coordinatesList":[[355.28399658203125,395.15132117271423,48.983001708984375,10.998000144958496]]},{"pageNumber":0,"geomIndex":2160,"lastGeomIndex":2166,"textElement":"Nissan","identifiers":{"ELEMENT_INDICES":"2"},"tableIndex":-1,"rowIndex":101,"cellIndex":0,"fontSize":12,"issueTypeId":"SmallFontSizeIssue:XLSX","dismiss":false,"pageNumbers":[2],"coordinatesList":[[54.992000579833984,545.1033170223236,29.25467300415039,10.998000144958496]]},{"pageNumber":0,"geomIndex":2166,"lastGeomIndex":2194,"textElement":"Ariya e-4ORCE 87kWh Performance","identifiers":{"ELEMENT_INDICES":"2"},"tableIndex":-1,"rowIndex":101,"cellIndex":1,"fontSize":12,"issueTypeId":"SmallFontSizeIssue:XLSX","dismiss":false,"pageNumbers":[2],"coordinatesList":[[10.0,10.0,2.0,2.0]]},{"pageNumber":0,"geomIndex":2194,"lastGeomIndex":2198,"textElement":"2021","identifiers":{"ELEMENT_INDICES":"2"},"tableIndex":-1,"rowIndex":101,"cellIndex":2,"fontSize":12,"issueTypeId":"SmallFontSizeIssue:XLSX","dismiss":false,"pageNumbers":[2],"coordinatesList":[[355.28399658203125,395.15132117271423,48.983001708984375,10.998000144958496]]},{"pageNumber":0,"geomIndex":2227,"lastGeomIndex":2230,"textElement":"150","identifiers":{"ELEMENT_INDICES":"1"},"tableIndex":-1,"rowIndex":26,"cellIndex":4,"fontSize":12,"issueTypeId":"SmallFontSizeIssue:XLSX","dismiss":false,"pageNumbers":[2],"coordinatesList":[[447.7040100097656,245.1982877254486,16.69500732421875,10.998000144958496]]},{"pageNumber":0,"geomIndex":2230,"lastGeomIndex":2233,"textElement":"250","identifiers":{"ELEMENT_INDICES":"1"},"tableIndex":-1,"rowIndex":26,"cellIndex":5,"fontSize":12,"issueTypeId":"SmallFontSizeIssue:XLSX","dismiss":false,"pageNumbers":[2],"coordinatesList":[[504.0849914550781,455.13230872154236,16.694976806640625,10.998000144958496]]},{"pageNumber":0,"geomIndex":2236,"lastGeomIndex":2239,"textElement":"180","identifiers":{"ELEMENT_INDICES":"1"},"tableIndex":-1,"rowIndex":26,"cellIndex":7,"fontSize":12,"issueTypeId":"SmallFontSizeIssue:XLSX","dismiss":false,"pageNumbers":[2],"coordinatesList":[[447.7040100097656,485.12229895591736,16.69500732421875,10.998000144958496]]},{"pageNumber":0,"geomIndex":2321,"lastGeomIndex":2324,"textElement":"150","identifiers":{"ELEMENT_INDICES":"1"},"tableIndex":-1,"rowIndex":27,"cellIndex":4,"fontSize":12,"issueTypeId":"SmallFontSizeIssue:XLSX","dismiss":false,"pageNumbers":[2],"coordinatesList":[[447.7040100097656,245.1982877254486,16.69500732421875,10.998000144958496]]},{"pageNumber":0,"geomIndex":2324,"lastGeomIndex":2327,"textElement":"190","identifiers":{"ELEMENT_INDICES":"1"},"tableIndex":-1,"rowIndex":27,"cellIndex":5,"fontSize":12,"issueTypeId":"SmallFontSizeIssue:XLSX","dismiss":false,"pageNumbers":[2],"coordinatesList":[[447.7040100097656,575.0943143367767,16.69500732421875,10.998000144958496]]},{"pageNumber":0,"geomIndex":2351,"lastGeomIndex":2354,"textElement":"Kia","identifiers":{"ELEMENT_INDICES":"1"},"tableIndex":-1,"rowIndex":28,"cellIndex":0,"fontSize":12,"issueTypeId":"SmallFontSizeIssue:XLSX","dismiss":false,"pageNumbers":[2],"coordinatesList":[[54.992000579833984,215.2073209285736,13.494548797607422,10.998000144958496]]},{"pageNumber":0,"geomIndex":2414,"lastGeomIndex":2417,"textElement":"155","identifiers":{"ELEMENT_INDICES":"1"},"tableIndex":-1,"rowIndex":28,"cellIndex":4,"fontSize":12,"issueTypeId":"SmallFontSizeIssue:XLSX","dismiss":false,"pageNumbers":[2],"coordinatesList":[[447.7040100097656,515.1132962703705,16.69500732421875,10.998000144958496]]},{"pageNumber":0,"geomIndex":2417,"lastGeomIndex":2420,"textElement":"235","identifiers":{"ELEMENT_INDICES":"1"},"tableIndex":-1,"rowIndex":28,"cellIndex":5,"fontSize":12,"issueTypeId":"SmallFontSizeIssue:XLSX","dismiss":false,"pageNumbers":[2],"coordinatesList":[[398.7019958496094,605.0843045711517,16.69500732421875,10.998000144958496]]},{"pageNumber":0,"geomIndex":2423,"lastGeomIndex":2426,"textElement":"167","identifiers":{"ELEMENT_INDICES":"1"},"tableIndex":-1,"rowIndex":28,"cellIndex":7,"fontSize":12,"issueTypeId":"SmallFontSizeIssue:XLSX","dismiss":false,"pageNumbers":[2],"coordinatesList":[[447.7040100097656,530.108291387558,16.69500732421875,10.998000144958496]]},{"pageNumber":0,"geomIndex":2445,"lastGeomIndex":2448,"textElement":"Kia","identifiers":{"ELEMENT_INDICES":"1"},"tableIndex":-1,"rowIndex":29,"cellIndex":0,"fontSize":12,"issueTypeId":"SmallFontSizeIssue:XLSX","dismiss":false,"pageNumbers":[2],"coordinatesList":[[54.992000579833984,215.2073209285736,13.494548797607422,10.998000144958496]]},{"pageNumber":0,"geomIndex":2508,"lastGeomIndex":2511,"textElement":"167","identifiers":{"ELEMENT_INDICES":"1"},"tableIndex":-1,"rowIndex":29,"cellIndex":4,"fontSize":12,"issueTypeId":"SmallFontSizeIssue:XLSX","dismiss":false,"pageNumbers":[2],"coordinatesList":[[447.7040100097656,530.108291387558,16.69500732421875,10.998000144958496]]},{"pageNumber":0,"geomIndex":2511,"lastGeomIndex":2514,"textElement":"370","identifiers":{"ELEMENT_INDICES":"1"},"tableIndex":-1,"rowIndex":29,"cellIndex":5,"fontSize":12,"issueTypeId":"SmallFontSizeIssue:XLSX","dismiss":false,"pageNumbers":[2],"coordinatesList":[[504.0849914550781,170.2223355770111,16.694976806640625,10.998000144958496]]},{"pageNumber":0,"geomIndex":2517,"lastGeomIndex":2520,"textElement":"173","identifiers":{"ELEMENT_INDICES":"1"},"tableIndex":-1,"rowIndex":29,"cellIndex":7,"fontSize":12,"issueTypeId":"SmallFontSizeIssue:XLSX","dismiss":false,"pageNumbers":[2],"coordinatesList":[[393.1369934082031,530.108291387558,16.69500732421875,10.998000144958496]]},{"pageNumber":0,"geomIndex":2539,"lastGeomIndex":2545,"textElement":"Nissan","identifiers":{"ELEMENT_INDICES":"1"},"tableIndex":-1,"rowIndex":30,"cellIndex":0,"fontSize":12,"issueTypeId":"SmallFontSizeIssue:XLSX","dismiss":false,"pageNumbers":[2],"coordinatesList":[[54.992000579833984,545.1033170223236,29.25467300415039,10.998000144958496]]},{"pageNumber":0,"geomIndex":2607,"lastGeomIndex":2610,"textElement":"123","identifiers":{"ELEMENT_INDICES":"1"},"tableIndex":-1,"rowIndex":30,"cellIndex":4,"fontSize":12,"issueTypeId":"SmallFontSizeIssue:XLSX","dismiss":false,"pageNumbers":[2],"coordinatesList":[[393.1369934082031,605.0843045711517,16.69500732421875,10.998000144958496]]},{"pageNumber":0,"geomIndex":2610,"lastGeomIndex":2613,"textElement":"190","identifiers":{"ELEMENT_INDICES":"1"},"tableIndex":-1,"rowIndex":30,"cellIndex":5,"fontSize":12,"issueTypeId":"SmallFontSizeIssue:XLSX","dismiss":false,"pageNumbers":[2],"coordinatesList":[[447.7040100097656,575.0943143367767,16.69500732421875,10.998000144958496]]},{"pageNumber":0,"geomIndex":2613,"lastGeomIndex":2615,"textElement":"14","identifiers":{"ELEMENT_INDICES":"1"},"tableIndex":-1,"rowIndex":30,"cellIndex":6,"fontSize":12,"issueTypeId":"SmallFontSizeIssue:XLSX","dismiss":false,"pageNumbers":[2],"coordinatesList":[[509.6499938964844,440.13630652427673,11.129974365234375,10.998000144958496]]},{"pageNumber":0,"geomIndex":2615,"lastGeomIndex":2618,"textElement":"200","identifiers":{"ELEMENT_INDICES":"1"},"tableIndex":-1,"rowIndex":30,"cellIndex":7,"fontSize":12,"issueTypeId":"SmallFontSizeIssue:XLSX","dismiss":false,"pageNumbers":[2],"coordinatesList":[[447.7040100097656,470.12730383872986,16.69500732421875,10.998000144958496]]},{"pageNumber":0,"geomIndex":2632,"lastGeomIndex":2635,"textElement":"Kia","identifiers":{"ELEMENT_INDICES":"1"},"tableIndex":-1,"rowIndex":31,"cellIndex":0,"fontSize":12,"issueTypeId":"SmallFontSizeIssue:XLSX","dismiss":false,"pageNumbers":[2],"coordinatesList":[[54.992000579833984,215.2073209285736,13.494548797607422,10.998000144958496]]},{"pageNumber":0,"geomIndex":2695,"lastGeomIndex":2698,"textElement":"157","identifiers":{"ELEMENT_INDICES":"1"},"tableIndex":-1,"rowIndex":31,"cellIndex":4,"fontSize":12,"issueTypeId":"SmallFontSizeIssue:XLSX","dismiss":false,"pageNumbers":[2],"coordinatesList":[[447.7040100097656,560.0993192195892,16.69500732421875,10.998000144958496]]},{"pageNumber":0,"geomIndex":2698,"lastGeomIndex":2701,"textElement":"230","identifiers":{"ELEMENT_INDICES":"1"},"tableIndex":-1,"rowIndex":31,"cellIndex":5,"fontSize":12,"issueTypeId":"SmallFontSizeIssue:XLSX","dismiss":false,"pageNumbers":[2],"coordinatesList":[[504.0849914550781,260.1932828426361,16.694976806640625,10.998000144958496]]},{"pageNumber":0,"geomIndex":2704,"lastGeomIndex":2707,"textElement":"170","identifiers":{"ELEMENT_INDICES":"1"},"tableIndex":-1,"rowIndex":31,"cellIndex":7,"fontSize":12,"issueTypeId":"SmallFontSizeIssue:XLSX","dismiss":false,"pageNumbers":[2],"coordinatesList":[[398.7019958496094,200.2123258113861,16.69500732421875,10.998000144958496]]},{"pageNumber":0,"geomIndex":2726,"lastGeomIndex":2729,"textElement":"Kia","identifiers":{"ELEMENT_INDICES":"1"},"tableIndex":-1,"rowIndex":32,"cellIndex":0,"fontSize":12,"issueTypeId":"SmallFontSizeIssue:XLSX","dismiss":false,"pageNumbers":[2],"coordinatesList":[[54.992000579833984,215.2073209285736,13.494548797607422,10.998000144958496]]},{"pageNumber":0,"geomIndex":2789,"lastGeomIndex":2792,"textElement":"167","identifiers":{"ELEMENT_INDICES":"1"},"tableIndex":-1,"rowIndex":32,"cellIndex":4,"fontSize":12,"issueTypeId":"SmallFontSizeIssue:XLSX","dismiss":false,"pageNumbers":[2],"coordinatesList":[[447.7040100097656,530.108291387558,16.69500732421875,10.998000144958496]]},{"pageNumber":0,"geomIndex":2792,"lastGeomIndex":2795,"textElement":"365","identifiers":{"ELEMENT_INDICES":"1"},"tableIndex":-1,"rowIndex":32,"cellIndex":5,"fontSize":12,"issueTypeId":"SmallFontSizeIssue:XLSX","dismiss":false,"pageNumbers":[2],"coordinatesList":[[398.7019958496094,245.1982877254486,16.69500732421875,10.998000144958496]]},{"pageNumber":0,"geomIndex":2820,"lastGeomIndex":2824,"textElement":"Audi","identifiers":{"ELEMENT_INDICES":"1"},"tableIndex":-1,"rowIndex":33,"cellIndex":0,"fontSize":12,"issueTypeId":"SmallFontSizeIssue:XLSX","dismiss":false,"pageNumbers":[3],"coordinatesList":[[54.992000579833984,215.2073209285736,20.423282623291016,10.998000144958496]]},{"pageNumber":0,"geomIndex":2897,"lastGeomIndex":2900,"textElement":"231","identifiers":{"ELEMENT_INDICES":"1"},"tableIndex":-1,"rowIndex":33,"cellIndex":7,"fontSize":12,"issueTypeId":"SmallFontSizeIssue:XLSX","dismiss":false,"pageNumbers":[3],"coordinatesList":[[360.8489990234375,230.2032926082611,43.417999267578125,10.998000144958496]]},{"pageNumber":0,"geomIndex":2918,"lastGeomIndex":2922,"textElement":"Audi","identifiers":{"ELEMENT_INDICES":"1"},"tableIndex":-1,"rowIndex":34,"cellIndex":0,"fontSize":12,"issueTypeId":"SmallFontSizeIssue:XLSX","dismiss":false,"pageNumbers":[3],"coordinatesList":[[54.992000579833984,215.2073209285736,20.423282623291016,10.998000144958496]]},{"pageNumber":0,"geomIndex":2986,"lastGeomIndex":2989,"textElement":"200","identifiers":{"ELEMENT_INDICES":"1"},"tableIndex":-1,"rowIndex":34,"cellIndex":4,"fontSize":12,"issueTypeId":"SmallFontSizeIssue:XLSX","dismiss":false,"pageNumbers":[3],"coordinatesList":[[447.7040100097656,230.2032926082611,16.69500732421875,10.998000144958496]]},{"pageNumber":0,"geomIndex":2989,"lastGeomIndex":2992,"textElement":"365","identifiers":{"ELEMENT_INDICES":"1"},"tableIndex":-1,"rowIndex":34,"cellIndex":5,"fontSize":12,"issueTypeId":"SmallFontSizeIssue:XLSX","dismiss":false,"pageNumbers":[3],"coordinatesList":[[504.0849914550781,290.18431067466736,16.694976806640625,10.998000144958496]]},{"pageNumber":0,"geomIndex":3016,"lastGeomIndex":3020,"textElement":"Audi","identifiers":{"ELEMENT_INDICES":"1"},"tableIndex":-1,"rowIndex":35,"cellIndex":0,"fontSize":12,"issueTypeId":"SmallFontSizeIssue:XLSX","dismiss":false,"pageNumbers":[3],"coordinatesList":[[54.992000579833984,215.2073209285736,20.423282623291016,10.998000144958496]]},{"pageNumber":0,"geomIndex":3080,"lastGeomIndex":3083,"textElement":"425","identifiers":{"ELEMENT_INDICES":"1"},"tableIndex":-1,"rowIndex":35,"cellIndex":5,"fontSize":12,"issueTypeId":"SmallFontSizeIssue:XLSX","dismiss":false,"pageNumbers":[3],"coordinatesList":[[504.0849914550781,305.17930579185486,16.694976806640625,10.998000144958496]]},{"pageNumber":0,"geomIndex":3086,"lastGeomIndex":3089,"textElement":"197","identifiers":{"ELEMENT_INDICES":"1"},"tableIndex":-1,"rowIndex":35,"cellIndex":7,"fontSize":12,"issueTypeId":"SmallFontSizeIssue:XLSX","dismiss":false,"pageNumbers":[3],"coordinatesList":[[393.1369934082031,245.1982877254486,16.69500732421875,10.998000144958496]]},{"pageNumber":0,"geomIndex":3108,"lastGeomIndex":3112,"textElement":"Audi","identifiers":{"ELEMENT_INDICES":"1"},"tableIndex":-1,"rowIndex":36,"cellIndex":0,"fontSize":12,"issueTypeId":"SmallFontSizeIssue:XLSX","dismiss":false,"pageNumbers":[3],"coordinatesList":[[54.992000579833984,215.2073209285736,20.423282623291016,10.998000144958496]]},{"pageNumber":0,"geomIndex":3180,"lastGeomIndex":3183,"textElement":"320","identifiers":{"ELEMENT_INDICES":"1"},"tableIndex":-1,"rowIndex":36,"cellIndex":5,"fontSize":12,"issueTypeId":"SmallFontSizeIssue:XLSX","dismiss":false,"pageNumbers":[3],"coordinatesList":[[398.7019958496094,320.17430090904236,16.69500732421875,10.998000144958496]]},{"pageNumber":0,"geomIndex":3186,"lastGeomIndex":3189,"textElement":"270","identifiers":{"ELEMENT_INDICES":"1"},"tableIndex":-1,"rowIndex":36,"cellIndex":7,"fontSize":12,"issueTypeId":"SmallFontSizeIssue:XLSX","dismiss":false,"pageNumbers":[3],"coordinatesList":[[504.0849914550781,395.15132117271423,16.694976806640625,10.998000144958496]]},{"pageNumber":0,"geomIndex":3207,"lastGeomIndex":3211,"textElement":"Audi","identifiers":{"ELEMENT_INDICES":"1"},"tableIndex":-1,"rowIndex":37,"cellIndex":0,"fontSize":12,"issueTypeId":"SmallFontSizeIssue:XLSX","dismiss":false,"pageNumbers":[3],"coordinatesList":[[54.992000579833984,215.2073209285736,20.423282623291016,10.998000144958496]]},{"pageNumber":0,"geomIndex":3288,"lastGeomIndex":3291,"textElement":"335","identifiers":{"ELEMENT_INDICES":"1"},"tableIndex":-1,"rowIndex":37,"cellIndex":5,"fontSize":12,"issueTypeId":"SmallFontSizeIssue:XLSX","dismiss":false,"pageNumbers":[3],"coordinatesList":[[504.0849914550781,380.1553189754486,16.694976806640625,10.998000144958496]]},{"pageNumber":0,"geomIndex":3315,"lastGeomIndex":3319,"textElement":"Audi","identifiers":{"ELEMENT_INDICES":"1"},"tableIndex":-1,"rowIndex":38,"cellIndex":0,"fontSize":12,"issueTypeId":"SmallFontSizeIssue:XLSX","dismiss":false,"pageNumbers":[3],"coordinatesList":[[54.992000579833984,215.2073209285736,20.423282623291016,10.998000144958496]]},{"pageNumber":0,"geomIndex":3395,"lastGeomIndex":3398,"textElement":"295","identifiers":{"ELEMENT_INDICES":"1"},"tableIndex":-1,"rowIndex":38,"cellIndex":5,"fontSize":12,"issueTypeId":"SmallFontSizeIssue:XLSX","dismiss":false,"pageNumbers":[3],"coordinatesList":[[398.7019958496094,335.170303106308,16.69500732421875,10.998000144958496]]},{"pageNumber":0,"geomIndex":3401,"lastGeomIndex":3404,"textElement":"219","identifiers":{"ELEMENT_INDICES":"1"},"tableIndex":-1,"rowIndex":38,"cellIndex":7,"fontSize":12,"issueTypeId":"SmallFontSizeIssue:XLSX","dismiss":false,"pageNumbers":[3],"coordinatesList":[[393.1369934082031,125.23631262779236,16.69500732421875,10.998000144958496]]},{"pageNumber":0,"geomIndex":3422,"lastGeomIndex":3426,"textElement":"Audi","identifiers":{"ELEMENT_INDICES":"1"},"tableIndex":-1,"rowIndex":39,"cellIndex":0,"fontSize":12,"issueTypeId":"SmallFontSizeIssue:XLSX","dismiss":false,"pageNumbers":[3],"coordinatesList":[[54.992000579833984,215.2073209285736,20.423282623291016,10.998000144958496]]},{"pageNumber":0,"geomIndex":3499,"lastGeomIndex":3502,"textElement":"200","identifiers":{"ELEMENT_INDICES":"1"},"tableIndex":-1,"rowIndex":39,"cellIndex":4,"fontSize":12,"issueTypeId":"SmallFontSizeIssue:XLSX","dismiss":false,"pageNumbers":[3],"coordinatesList":[[447.7040100097656,230.2032926082611,16.69500732421875,10.998000144958496]]},{"pageNumber":0,"geomIndex":3593,"lastGeomIndex":3596,"textElement":"130","identifiers":{"ELEMENT_INDICES":"1"},"tableIndex":-1,"rowIndex":40,"cellIndex":4,"fontSize":12,"issueTypeId":"SmallFontSizeIssue:XLSX","dismiss":false,"pageNumbers":[3],"coordinatesList":[[504.0849914550781,365.160293340683,16.694976806640625,10.998000144958496]]},{"pageNumber":0,"geomIndex":3596,"lastGeomIndex":3599,"textElement":"195","identifiers":{"ELEMENT_INDICES":"1"},"tableIndex":-1,"rowIndex":40,"cellIndex":5,"fontSize":12,"issueTypeId":"SmallFontSizeIssue:XLSX","dismiss":false,"pageNumbers":[3],"coordinatesList":[[398.7019958496094,125.23631262779236,16.69500732421875,10.998000144958496]]},{"pageNumber":0,"geomIndex":3691,"lastGeomIndex":3694,"textElement":"6.5","identifiers":{"ELEMENT_INDICES":"1"},"tableIndex":-1,"rowIndex":41,"cellIndex":6,"fontSize":12,"issueTypeId":"SmallFontSizeIssue:XLSX","dismiss":false,"pageNumbers":[4],"coordinatesList":[[103.80500030517578,695.056304693222,13.901473999023438,10.998000144958496]]},{"pageNumber":0,"geomIndex":3694,"lastGeomIndex":3697,"textElement":"181","identifiers":{"ELEMENT_INDICES":"1"},"tableIndex":-1,"rowIndex":41,"cellIndex":7,"fontSize":12,"issueTypeId":"SmallFontSizeIssue:XLSX","dismiss":false,"pageNumbers":[4],"coordinatesList":[[163.87100219726562,695.056304693222,16.694961547851562,10.998000144958496]]},{"pageNumber":0,"geomIndex":3697,"lastGeomIndex":3702,"textElement":"45000","identifiers":{"ELEMENT_INDICES":"1"},"tableIndex":-1,"rowIndex":41,"cellIndex":8,"fontSize":12,"issueTypeId":"SmallFontSizeIssue:XLSX","dismiss":false,"pageNumbers":[4],"coordinatesList":[[217.4739990234375,380.1553189754486,27.824935913085938,10.998000144958496]]},{"pageNumber":0,"geomIndex":3702,"lastGeomIndex":3707,"textElement":"Spain","identifiers":{"ELEMENT_INDICES":"1"},"tableIndex":-1,"rowIndex":41,"cellIndex":9,"fontSize":12,"issueTypeId":"SmallFontSizeIssue:XLSX","dismiss":false,"pageNumbers":[4],"coordinatesList":[[247.3509979248047,695.056304693222,24.382583618164062,10.998000144958496]]},{"pageNumber":0,"geomIndex":3707,"lastGeomIndex":3713,"textElement":"Europe","identifiers":{"ELEMENT_INDICES":"1"},"tableIndex":-1,"rowIndex":41,"cellIndex":10,"fontSize":12,"issueTypeId":"SmallFontSizeIssue:XLSX","dismiss":false,"pageNumbers":[4],"coordinatesList":[[305.6310119628906,440.13630652427673,32.00421142578125,10.998000144958496]]},{"pageNumber":0,"geomIndex":3782,"lastGeomIndex":3784,"textElement":"10","identifiers":{"ELEMENT_INDICES":"1"},"tableIndex":-1,"rowIndex":42,"cellIndex":6,"fontSize":12,"issueTypeId":"SmallFontSizeIssue:XLSX","dismiss":false,"pageNumbers":[4],"coordinatesList":[[228.60397338867188,515.1132962703705,11.129974365234375,10.998000144958496]]},{"pageNumber":0,"geomIndex":3784,"lastGeomIndex":3787,"textElement":"179","identifiers":{"ELEMENT_INDICES":"1"},"tableIndex":-1,"rowIndex":42,"cellIndex":7,"fontSize":12,"issueTypeId":"SmallFontSizeIssue:XLSX","dismiss":false,"pageNumbers":[4],"coordinatesList":[[163.87100219726562,710.0512998104095,16.694961547851562,10.998000144958496]]},{"pageNumber":0,"geomIndex":3787,"lastGeomIndex":3792,"textElement":"35000","identifiers":{"ELEMENT_INDICES":"1"},"tableIndex":-1,"rowIndex":42,"cellIndex":8,"fontSize":12,"issueTypeId":"SmallFontSizeIssue:XLSX","dismiss":false,"pageNumbers":[4],"coordinatesList":[[217.4739990234375,710.0512998104095,27.824935913085938,10.998000144958496]]},{"pageNumber":0,"geomIndex":3792,"lastGeomIndex":3799,"textElement":"Czechia","identifiers":{"ELEMENT_INDICES":"1"},"tableIndex":-1,"rowIndex":42,"cellIndex":9,"fontSize":12,"issueTypeId":"SmallFontSizeIssue:XLSX","dismiss":false,"pageNumbers":[4],"coordinatesList":[[247.3509979248047,320.17430090904236,33.87385559082031,10.998000144958496]]},{"pageNumber":0,"geomIndex":3799,"lastGeomIndex":3805,"textElement":"Europe","identifiers":{"ELEMENT_INDICES":"1"},"tableIndex":-1,"rowIndex":42,"cellIndex":10,"fontSize":12,"issueTypeId":"SmallFontSizeIssue:XLSX","dismiss":false,"pageNumbers":[4],"coordinatesList":[[305.6310119628906,440.13630652427673,32.00421142578125,10.998000144958496]]},{"pageNumber":0,"geomIndex":3874,"lastGeomIndex":3875,"textElement":"9","identifiers":{"ELEMENT_INDICES":"1"},"tableIndex":-1,"rowIndex":43,"cellIndex":6,"fontSize":12,"issueTypeId":"SmallFontSizeIssue:XLSX","dismiss":false,"pageNumbers":[4],"coordinatesList":[[228.60397338867188,425.14131140708923,5.5649871826171875,10.998000144958496]]},{"pageNumber":0,"geomIndex":3875,"lastGeomIndex":3878,"textElement":"181","identifiers":{"ELEMENT_INDICES":"1"},"tableIndex":-1,"rowIndex":43,"cellIndex":7,"fontSize":12,"issueTypeId":"SmallFontSizeIssue:XLSX","dismiss":false,"pageNumbers":[4],"coordinatesList":[[163.87100219726562,695.056304693222,16.694961547851562,10.998000144958496]]},{"pageNumber":0,"geomIndex":3878,"lastGeomIndex":3883,"textElement":"37500","identifiers":{"ELEMENT_INDICES":"1"},"tableIndex":-1,"rowIndex":43,"cellIndex":8,"fontSize":12,"issueTypeId":"SmallFontSizeIssue:XLSX","dismiss":false,"pageNumbers":[4],"coordinatesList":[[217.4739990234375,725.0473096370697,27.824935913085938,10.998000144958496]]},{"pageNumber":0,"geomIndex":3883,"lastGeomIndex":3890,"textElement":"Czechia","identifiers":{"ELEMENT_INDICES":"1"},"tableIndex":-1,"rowIndex":43,"cellIndex":9,"fontSize":12,"issueTypeId":"SmallFontSizeIssue:XLSX","dismiss":false,"pageNumbers":[4],"coordinatesList":[[247.3509979248047,320.17430090904236,33.87385559082031,10.998000144958496]]},{"pageNumber":0,"geomIndex":3890,"lastGeomIndex":3896,"textElement":"Europe","identifiers":{"ELEMENT_INDICES":"1"},"tableIndex":-1,"rowIndex":43,"cellIndex":10,"fontSize":12,"issueTypeId":"SmallFontSizeIssue:XLSX","dismiss":false,"pageNumbers":[4],"coordinatesList":[[305.6310119628906,440.13630652427673,32.00421142578125,10.998000144958496]]},{"pageNumber":0,"geomIndex":3962,"lastGeomIndex":3965,"textElement":"420","identifiers":{"ELEMENT_INDICES":"1"},"tableIndex":-1,"rowIndex":44,"cellIndex":5,"fontSize":12,"issueTypeId":"SmallFontSizeIssue:XLSX","dismiss":false,"pageNumbers":[4],"coordinatesList":[[112.14798736572266,530.108291387558,62.852989196777344,10.998000144958496]]},{"pageNumber":0,"geomIndex":3965,"lastGeomIndex":3968,"textElement":"8.8","identifiers":{"ELEMENT_INDICES":"1"},"tableIndex":-1,"rowIndex":44,"cellIndex":6,"fontSize":12,"issueTypeId":"SmallFontSizeIssue:XLSX","dismiss":false,"pageNumbers":[4],"coordinatesList":[[103.80500030517578,740.0423047542572,13.901473999023438,10.998000144958496]]},{"pageNumber":0,"geomIndex":3968,"lastGeomIndex":3971,"textElement":"183","identifiers":{"ELEMENT_INDICES":"1"},"tableIndex":-1,"rowIndex":44,"cellIndex":7,"fontSize":12,"issueTypeId":"SmallFontSizeIssue:XLSX","dismiss":false,"pageNumbers":[4],"coordinatesList":[[163.87100219726562,740.0423047542572,16.694961547851562,10.998000144958496]]},{"pageNumber":0,"geomIndex":3971,"lastGeomIndex":3976,"textElement":"40000","identifiers":{"ELEMENT_INDICES":"1"},"tableIndex":-1,"rowIndex":44,"cellIndex":8,"fontSize":12,"issueTypeId":"SmallFontSizeIssue:XLSX","dismiss":false,"pageNumbers":[4],"coordinatesList":[[217.4739990234375,470.12730383872986,27.824935913085938,10.998000144958496]]},{"pageNumber":0,"geomIndex":3976,"lastGeomIndex":3983,"textElement":"Czechia","identifiers":{"ELEMENT_INDICES":"1"},"tableIndex":-1,"rowIndex":44,"cellIndex":9,"fontSize":12,"issueTypeId":"SmallFontSizeIssue:XLSX","dismiss":false,"pageNumbers":[4],"coordinatesList":[[247.3509979248047,320.17430090904236,33.87385559082031,10.998000144958496]]},{"pageNumber":0,"geomIndex":3983,"lastGeomIndex":3989,"textElement":"Europe","identifiers":{"ELEMENT_INDICES":"1"},"tableIndex":-1,"rowIndex":44,"cellIndex":10,"fontSize":12,"issueTypeId":"SmallFontSizeIssue:XLSX","dismiss":false,"pageNumbers":[4],"coordinatesList":[[305.6310119628906,440.13630652427673,32.00421142578125,10.998000144958496]]},{"pageNumber":0,"geomIndex":4056,"lastGeomIndex":4059,"textElement":"400","identifiers":{"ELEMENT_INDICES":"1"},"tableIndex":-1,"rowIndex":45,"cellIndex":5,"fontSize":12,"issueTypeId":"SmallFontSizeIssue:XLSX","dismiss":false,"pageNumbers":[4],"coordinatesList":[[217.4739990234375,470.12730383872986,16.694961547851562,10.998000144958496]]},{"pageNumber":0,"geomIndex":4059,"lastGeomIndex":4060,"textElement":"7","identifiers":{"ELEMENT_INDICES":"1"},"tableIndex":-1,"rowIndex":45,"cellIndex":6,"fontSize":12,"issueTypeId":"SmallFontSizeIssue:XLSX","dismiss":false,"pageNumbers":[4],"coordinatesList":[[112.13899993896484,380.1553189754486,5.5649871826171875,10.998000144958496]]},{"pageNumber":0,"geomIndex":4060,"lastGeomIndex":4063,"textElement":"193","identifiers":{"ELEMENT_INDICES":"1"},"tableIndex":-1,"rowIndex":45,"cellIndex":7,"fontSize":12,"issueTypeId":"SmallFontSizeIssue:XLSX","dismiss":false,"pageNumbers":[4],"coordinatesList":[[163.87100219726562,755.0373075008392,16.694961547851562,10.998000144958496]]},{"pageNumber":0,"geomIndex":4063,"lastGeomIndex":4068,"textElement":"45000","identifiers":{"ELEMENT_INDICES":"1"},"tableIndex":-1,"rowIndex":45,"cellIndex":8,"fontSize":12,"issueTypeId":"SmallFontSizeIssue:XLSX","dismiss":false,"pageNumbers":[4],"coordinatesList":[[217.4739990234375,380.1553189754486,27.824935913085938,10.998000144958496]]},{"pageNumber":0,"geomIndex":4068,"lastGeomIndex":4075,"textElement":"Czechia","identifiers":{"ELEMENT_INDICES":"1"},"tableIndex":-1,"rowIndex":45,"cellIndex":9,"fontSize":12,"issueTypeId":"SmallFontSizeIssue:XLSX","dismiss":false,"pageNumbers":[4],"coordinatesList":[[247.3509979248047,320.17430090904236,33.87385559082031,10.998000144958496]]},{"pageNumber":0,"geomIndex":4075,"lastGeomIndex":4081,"textElement":"Europe","identifiers":{"ELEMENT_INDICES":"1"},"tableIndex":-1,"rowIndex":45,"cellIndex":10,"fontSize":12,"issueTypeId":"SmallFontSizeIssue:XLSX","dismiss":false,"pageNumbers":[4],"coordinatesList":[[305.6310119628906,440.13630652427673,32.00421142578125,10.998000144958496]]},{"pageNumber":0,"geomIndex":4145,"lastGeomIndex":4148,"textElement":"180","identifiers":{"ELEMENT_INDICES":"1"},"tableIndex":-1,"rowIndex":46,"cellIndex":4,"fontSize":12,"issueTypeId":"SmallFontSizeIssue:XLSX","dismiss":false,"pageNumbers":[4],"coordinatesList":[[163.87100219726562,440.13630652427673,16.694961547851562,10.998000144958496]]},{"pageNumber":0,"geomIndex":4148,"lastGeomIndex":4151,"textElement":"400","identifiers":{"ELEMENT_INDICES":"1"},"tableIndex":-1,"rowIndex":46,"cellIndex":5,"fontSize":12,"issueTypeId":"SmallFontSizeIssue:XLSX","dismiss":false,"pageNumbers":[4],"coordinatesList":[[217.4739990234375,470.12730383872986,16.694961547851562,10.998000144958496]]},{"pageNumber":0,"geomIndex":4154,"lastGeomIndex":4157,"textElement":"193","identifiers":{"ELEMENT_INDICES":"1"},"tableIndex":-1,"rowIndex":46,"cellIndex":7,"fontSize":12,"issueTypeId":"SmallFontSizeIssue:XLSX","dismiss":false,"pageNumbers":[4],"coordinatesList":[[163.87100219726562,755.0373075008392,16.694961547851562,10.998000144958496]]},{"pageNumber":0,"geomIndex":4162,"lastGeomIndex":4169,"textElement":"Czechia","identifiers":{"ELEMENT_INDICES":"1"},"tableIndex":-1,"rowIndex":46,"cellIndex":9,"fontSize":12,"issueTypeId":"SmallFontSizeIssue:XLSX","dismiss":false,"pageNumbers":[4],"coordinatesList":[[247.3509979248047,320.17430090904236,33.87385559082031,10.998000144958496]]},{"pageNumber":0,"geomIndex":4169,"lastGeomIndex":4175,"textElement":"Europe","identifiers":{"ELEMENT_INDICES":"1"},"tableIndex":-1,"rowIndex":46,"cellIndex":10,"fontSize":12,"issueTypeId":"SmallFontSizeIssue:XLSX","dismiss":false,"pageNumbers":[4],"coordinatesList":[[305.6310119628906,440.13630652427673,32.00421142578125,10.998000144958496]]},{"pageNumber":0,"geomIndex":4241,"lastGeomIndex":4243,"textElement":"95","identifiers":{"ELEMENT_INDICES":"1"},"tableIndex":-1,"rowIndex":47,"cellIndex":5,"fontSize":12,"issueTypeId":"SmallFontSizeIssue:XLSX","dismiss":false,"pageNumbers":[4],"coordinatesList":[[223.0389862060547,650.0703122615814,11.129974365234375,10.998000144958496]]},{"pageNumber":0,"geomIndex":4255,"lastGeomIndex":4262,"textElement":"Germany","identifiers":{"ELEMENT_INDICES":"1"},"tableIndex":-1,"rowIndex":47,"cellIndex":9,"fontSize":12,"issueTypeId":"SmallFontSizeIssue:XLSX","dismiss":false,"pageNumbers":[4],"coordinatesList":[[247.3509979248047,485.12229895591736,41.01155090332031,10.998000144958496]]},{"pageNumber":0,"geomIndex":4262,"lastGeomIndex":4268,"textElement":"Europe","identifiers":{"ELEMENT_INDICES":"1"},"tableIndex":-1,"rowIndex":47,"cellIndex":10,"fontSize":12,"issueTypeId":"SmallFontSizeIssue:XLSX","dismiss":false,"pageNumbers":[4],"coordinatesList":[[305.6310119628906,440.13630652427673,32.00421142578125,10.998000144958496]]},{"pageNumber":0,"geomIndex":4339,"lastGeomIndex":4341,"textElement":"95","identifiers":{"ELEMENT_INDICES":"1"},"tableIndex":-1,"rowIndex":48,"cellIndex":5,"fontSize":12,"issueTypeId":"SmallFontSizeIssue:XLSX","dismiss":false,"pageNumbers":[4],"coordinatesList":[[223.0389862060547,650.0703122615814,11.129974365234375,10.998000144958496]]},{"pageNumber":0,"geomIndex":4341,"lastGeomIndex":4345,"textElement":"11.9","identifiers":{"ELEMENT_INDICES":"1"},"tableIndex":-1,"rowIndex":48,"cellIndex":6,"fontSize":12,"issueTypeId":"SmallFontSizeIssue:XLSX","dismiss":false,"pageNumbers":[4],"coordinatesList":[[98.22000122070312,680.0613095760345,19.466461181640625,10.998000144958496]]},{"pageNumber":0,"geomIndex":4353,"lastGeomIndex":4360,"textElement":"Germany","identifiers":{"ELEMENT_INDICES":"1"},"tableIndex":-1,"rowIndex":48,"cellIndex":9,"fontSize":12,"issueTypeId":"SmallFontSizeIssue:XLSX","dismiss":false,"pageNumbers":[4],"coordinatesList":[[247.3509979248047,485.12229895591736,41.01155090332031,10.998000144958496]]},{"pageNumber":0,"geomIndex":4360,"lastGeomIndex":4366,"textElement":"Europe","identifiers":{"ELEMENT_INDICES":"1"},"tableIndex":-1,"rowIndex":48,"cellIndex":10,"fontSize":12,"issueTypeId":"SmallFontSizeIssue:XLSX","dismiss":false,"pageNumbers":[4],"coordinatesList":[[305.6310119628906,440.13630652427673,32.00421142578125,10.998000144958496]]},{"pageNumber":0,"geomIndex":4443,"lastGeomIndex":4446,"textElement":"167","identifiers":{"ELEMENT_INDICES":"1"},"tableIndex":-1,"rowIndex":49,"cellIndex":7,"fontSize":12,"issueTypeId":"SmallFontSizeIssue:XLSX","dismiss":false,"pageNumbers":[4],"coordinatesList":[[163.87100219726562,500.118301153183,16.694961547851562,10.998000144958496]]},{"pageNumber":0,"geomIndex":4451,"lastGeomIndex":4458,"textElement":"Germany","identifiers":{"ELEMENT_INDICES":"1"},"tableIndex":-1,"rowIndex":49,"cellIndex":9,"fontSize":12,"issueTypeId":"SmallFontSizeIssue:XLSX","dismiss":false,"pageNumbers":[4],"coordinatesList":[[247.3509979248047,485.12229895591736,41.01155090332031,10.998000144958496]]},{"pageNumber":0,"geomIndex":4458,"lastGeomIndex":4464,"textElement":"Europe","identifiers":{"ELEMENT_INDICES":"1"},"tableIndex":-1,"rowIndex":49,"cellIndex":10,"fontSize":12,"issueTypeId":"SmallFontSizeIssue:XLSX","dismiss":false,"pageNumbers":[4],"coordinatesList":[[305.6310119628906,440.13630652427673,32.00421142578125,10.998000144958496]]},{"pageNumber":0,"geomIndex":4524,"lastGeomIndex":4527,"textElement":"200","identifiers":{"ELEMENT_INDICES":"1"},"tableIndex":-1,"rowIndex":50,"cellIndex":4,"fontSize":12,"issueTypeId":"SmallFontSizeIssue:XLSX","dismiss":false,"pageNumbers":[4],"coordinatesList":[[163.87100219726562,530.108291387558,16.694961547851562,10.998000144958496]]},{"pageNumber":0,"geomIndex":4527,"lastGeomIndex":4530,"textElement":"350","identifiers":{"ELEMENT_INDICES":"1"},"tableIndex":-1,"rowIndex":50,"cellIndex":5,"fontSize":12,"issueTypeId":"SmallFontSizeIssue:XLSX","dismiss":false,"pageNumbers":[4],"coordinatesList":[[217.4739990234375,710.0512998104095,16.694961547851562,10.998000144958496]]},{"pageNumber":0,"geomIndex":4530,"lastGeomIndex":4531,"textElement":"5","identifiers":{"ELEMENT_INDICES":"1"},"tableIndex":-1,"rowIndex":50,"cellIndex":6,"fontSize":12,"issueTypeId":"SmallFontSizeIssue:XLSX","dismiss":false,"pageNumbers":[4],"coordinatesList":[[112.14148712158203,440.13630652427673,5.5649871826171875,10.998000144958496]]},{"pageNumber":0,"geomIndex":4534,"lastGeomIndex":4539,"textElement":"45000","identifiers":{"ELEMENT_INDICES":"1"},"tableIndex":-1,"rowIndex":50,"cellIndex":8,"fontSize":12,"issueTypeId":"SmallFontSizeIssue:XLSX","dismiss":false,"pageNumbers":[4],"coordinatesList":[[217.4739990234375,380.1553189754486,27.824935913085938,10.998000144958496]]},{"pageNumber":0,"geomIndex":4539,"lastGeomIndex":4546,"textElement":"Germany","identifiers":{"ELEMENT_INDICES":"1"},"tableIndex":-1,"rowIndex":50,"cellIndex":9,"fontSize":12,"issueTypeId":"SmallFontSizeIssue:XLSX","dismiss":false,"pageNumbers":[4],"coordinatesList":[[247.3509979248047,485.12229895591736,41.01155090332031,10.998000144958496]]},{"pageNumber":0,"geomIndex":4546,"lastGeomIndex":4552,"textElement":"Europe","identifiers":{"ELEMENT_INDICES":"1"},"tableIndex":-1,"rowIndex":50,"cellIndex":10,"fontSize":12,"issueTypeId":"SmallFontSizeIssue:XLSX","dismiss":false,"pageNumbers":[4],"coordinatesList":[[305.6310119628906,440.13630652427673,32.00421142578125,10.998000144958496]]},{"pageNumber":0,"geomIndex":4585,"lastGeomIndex":4588,"textElement":"200","identifiers":{"ELEMENT_INDICES":"1"},"tableIndex":-1,"rowIndex":51,"cellIndex":7,"fontSize":12,"issueTypeId":"SmallFontSizeIssue:XLSX","dismiss":false,"pageNumbers":[4],"coordinatesList":[[163.87100219726562,530.108291387558,16.694961547851562,10.998000144958496]]},{"pageNumber":0,"geomIndex":4588,"lastGeomIndex":4593,"textElement":"55000","identifiers":{"ELEMENT_INDICES":"1"},"tableIndex":-1,"rowIndex":51,"cellIndex":8,"fontSize":12,"issueTypeId":"SmallFontSizeIssue:XLSX","dismiss":false,"pageNumbers":[4],"coordinatesList":[[217.4739990234375,365.160293340683,27.824935913085938,10.998000144958496]]},{"pageNumber":0,"geomIndex":4593,"lastGeomIndex":4600,"textElement":"Germany","identifiers":{"ELEMENT_INDICES":"1"},"tableIndex":-1,"rowIndex":51,"cellIndex":9,"fontSize":12,"issueTypeId":"SmallFontSizeIssue:XLSX","dismiss":false,"pageNumbers":[4],"coordinatesList":[[247.3509979248047,485.12229895591736,41.01155090332031,10.998000144958496]]},{"pageNumber":0,"geomIndex":4600,"lastGeomIndex":4606,"textElement":"Europe","identifiers":{"ELEMENT_INDICES":"1"},"tableIndex":-1,"rowIndex":51,"cellIndex":10,"fontSize":12,"issueTypeId":"SmallFontSizeIssue:XLSX","dismiss":false,"pageNumbers":[4],"coordinatesList":[[305.6310119628906,440.13630652427673,32.00421142578125,10.998000144958496]]},{"pageNumber":0,"geomIndex":4675,"lastGeomIndex":4678,"textElement":"180","identifiers":{"ELEMENT_INDICES":"1"},"tableIndex":-1,"rowIndex":52,"cellIndex":4,"fontSize":12,"issueTypeId":"SmallFontSizeIssue:XLSX","dismiss":false,"pageNumbers":[5],"coordinatesList":[[163.87100219726562,290.18431067466736,16.694961547851562,10.998000144958496]]},{"pageNumber":0,"geomIndex":4678,"lastGeomIndex":4681,"textElement":"370","identifiers":{"ELEMENT_INDICES":"1"},"tableIndex":-1,"rowIndex":52,"cellIndex":5,"fontSize":12,"issueTypeId":"SmallFontSizeIssue:XLSX","dismiss":false,"pageNumbers":[5],"coordinatesList":[[175.0009765625,200.2123258113861,53.602996826171875,10.998000144958496]]},{"pageNumber":0,"geomIndex":4681,"lastGeomIndex":4684,"textElement":"5.1","identifiers":{"ELEMENT_INDICES":"1"},"tableIndex":-1,"rowIndex":52,"cellIndex":6,"fontSize":12,"issueTypeId":"SmallFontSizeIssue:XLSX","dismiss":false,"pageNumbers":[5],"coordinatesList":[[103.80500030517578,440.13630652427673,13.901473999023438,10.998000144958496]]},{"pageNumber":0,"geomIndex":4684,"lastGeomIndex":4687,"textElement":"216","identifiers":{"ELEMENT_INDICES":"1"},"tableIndex":-1,"rowIndex":52,"cellIndex":7,"fontSize":12,"issueTypeId":"SmallFontSizeIssue:XLSX","dismiss":false,"pageNumbers":[5],"coordinatesList":[[163.87100219726562,170.2223355770111,16.694961547851562,10.998000144958496]]},{"pageNumber":0,"geomIndex":4687,"lastGeomIndex":4692,"textElement":"69484","identifiers":{"ELEMENT_INDICES":"1"},"tableIndex":-1,"rowIndex":52,"cellIndex":8,"fontSize":12,"issueTypeId":"SmallFontSizeIssue:XLSX","dismiss":false,"pageNumbers":[5],"coordinatesList":[[217.4739990234375,170.2223355770111,27.824935913085938,10.998000144958496]]},{"pageNumber":0,"geomIndex":4692,"lastGeomIndex":4699,"textElement":"Germany","identifiers":{"ELEMENT_INDICES":"1"},"tableIndex":-1,"rowIndex":52,"cellIndex":9,"fontSize":12,"issueTypeId":"SmallFontSizeIssue:XLSX","dismiss":false,"pageNumbers":[5],"coordinatesList":[[247.3509979248047,95.24528479576111,41.01155090332031,10.998000144958496]]},{"pageNumber":0,"geomIndex":4699,"lastGeomIndex":4705,"textElement":"Europe","identifiers":{"ELEMENT_INDICES":"1"},"tableIndex":-1,"rowIndex":52,"cellIndex":10,"fontSize":12,"issueTypeId":"SmallFontSizeIssue:XLSX","dismiss":false,"pageNumbers":[5],"coordinatesList":[[305.6310119628906,95.24528479576111,32.00421142578125,10.998000144958496]]},{"pageNumber":0,"geomIndex":4733,"lastGeomIndex":4736,"textElement":"4.9","identifiers":{"ELEMENT_INDICES":"1"},"tableIndex":-1,"rowIndex":53,"cellIndex":6,"fontSize":12,"issueTypeId":"SmallFontSizeIssue:XLSX","dismiss":false,"pageNumbers":[5],"coordinatesList":[[103.80500030517578,185.2173306941986,13.901473999023438,10.998000144958496]]},{"pageNumber":0,"geomIndex":4736,"lastGeomIndex":4739,"textElement":"180","identifiers":{"ELEMENT_INDICES":"1"},"tableIndex":-1,"rowIndex":53,"cellIndex":7,"fontSize":12,"issueTypeId":"SmallFontSizeIssue:XLSX","dismiss":false,"pageNumbers":[5],"coordinatesList":[[163.87100219726562,290.18431067466736,16.694961547851562,10.998000144958496]]},{"pageNumber":0,"geomIndex":4739,"lastGeomIndex":4744,"textElement":"76000","identifiers":{"ELEMENT_INDICES":"1"},"tableIndex":-1,"rowIndex":53,"cellIndex":8,"fontSize":12,"issueTypeId":"SmallFontSizeIssue:XLSX","dismiss":false,"pageNumbers":[5],"coordinatesList":[[175.0009765625,575.0943143367767,64.73297119140625,10.998000144958496]]},{"pageNumber":0,"geomIndex":4744,"lastGeomIndex":4751,"textElement":"Germany","identifiers":{"ELEMENT_INDICES":"1"},"tableIndex":-1,"rowIndex":53,"cellIndex":9,"fontSize":12,"issueTypeId":"SmallFontSizeIssue:XLSX","dismiss":false,"pageNumbers":[5],"coordinatesList":[[247.3509979248047,410.14631628990173,41.01155090332031,10.998000144958496]]},{"pageNumber":0,"geomIndex":4751,"lastGeomIndex":4757,"textElement":"Europe","identifiers":{"ELEMENT_INDICES":"1"},"tableIndex":-1,"rowIndex":53,"cellIndex":10,"fontSize":12,"issueTypeId":"SmallFontSizeIssue:XLSX","dismiss":false,"pageNumbers":[5],"coordinatesList":[[305.6310119628906,410.14631628990173,32.00421142578125,10.998000144958496]]},{"pageNumber":0,"geomIndex":4827,"lastGeomIndex":4830,"textElement":"330","identifiers":{"ELEMENT_INDICES":"1"},"tableIndex":-1,"rowIndex":54,"cellIndex":5,"fontSize":12,"issueTypeId":"SmallFontSizeIssue:XLSX","dismiss":false,"pageNumbers":[5],"coordinatesList":[[217.4739990234375,335.170303106308,16.694961547851562,10.998000144958496]]},{"pageNumber":0,"geomIndex":4830,"lastGeomIndex":4832,"textElement":"10","identifiers":{"ELEMENT_INDICES":"1"},"tableIndex":-1,"rowIndex":54,"cellIndex":6,"fontSize":12,"issueTypeId":"SmallFontSizeIssue:XLSX","dismiss":false,"pageNumbers":[5],"coordinatesList":[[106.58300018310547,380.1553189754486,11.129974365234375,10.998000144958496]]},{"pageNumber":0,"geomIndex":4832,"lastGeomIndex":4835,"textElement":"273","identifiers":{"ELEMENT_INDICES":"1"},"tableIndex":-1,"rowIndex":54,"cellIndex":7,"fontSize":12,"issueTypeId":"SmallFontSizeIssue:XLSX","dismiss":false,"pageNumbers":[5],"coordinatesList":[[163.87100219726562,200.2123258113861,16.694961547851562,10.998000144958496]]},{"pageNumber":0,"geomIndex":4835,"lastGeomIndex":4840,"textElement":"70631","identifiers":{"ELEMENT_INDICES":"1"},"tableIndex":-1,"rowIndex":54,"cellIndex":8,"fontSize":12,"issueTypeId":"SmallFontSizeIssue:XLSX","dismiss":false,"pageNumbers":[5],"coordinatesList":[[217.4739990234375,200.2123258113861,27.824935913085938,10.998000144958496]]},{"pageNumber":0,"geomIndex":4840,"lastGeomIndex":4847,"textElement":"Germany","identifiers":{"ELEMENT_INDICES":"1"},"tableIndex":-1,"rowIndex":54,"cellIndex":9,"fontSize":12,"issueTypeId":"SmallFontSizeIssue:XLSX","dismiss":false,"pageNumbers":[5],"coordinatesList":[[247.3509979248047,410.14631628990173,41.01155090332031,10.998000144958496]]},{"pageNumber":0,"geomIndex":4847,"lastGeomIndex":4853,"textElement":"Europe","identifiers":{"ELEMENT_INDICES":"1"},"tableIndex":-1,"rowIndex":54,"cellIndex":10,"fontSize":12,"issueTypeId":"SmallFontSizeIssue:XLSX","dismiss":false,"pageNumbers":[5],"coordinatesList":[[305.6310119628906,410.14631628990173,32.00421142578125,10.998000144958496]]},{"pageNumber":0,"geomIndex":4867,"lastGeomIndex":4870,"textElement":"185","identifiers":{"ELEMENT_INDICES":"1"},"tableIndex":-1,"rowIndex":55,"cellIndex":4,"fontSize":12,"issueTypeId":"SmallFontSizeIssue:XLSX","dismiss":false,"pageNumbers":[5],"coordinatesList":[[175.0009765625,695.056304693222,53.602996826171875,10.998000144958496]]},{"pageNumber":0,"geomIndex":4870,"lastGeomIndex":4873,"textElement":"500","identifiers":{"ELEMENT_INDICES":"1"},"tableIndex":-1,"rowIndex":55,"cellIndex":5,"fontSize":12,"issueTypeId":"SmallFontSizeIssue:XLSX","dismiss":false,"pageNumbers":[5],"coordinatesList":[[223.0389862060547,410.14631628990173,16.694961547851562,10.998000144958496]]},{"pageNumber":0,"geomIndex":4873,"lastGeomIndex":4876,"textElement":"5.2","identifiers":{"ELEMENT_INDICES":"1"},"tableIndex":-1,"rowIndex":55,"cellIndex":6,"fontSize":12,"issueTypeId":"SmallFontSizeIssue:XLSX","dismiss":false,"pageNumbers":[5],"coordinatesList":[[103.80500030517578,215.2073209285736,13.901473999023438,10.998000144958496]]},{"pageNumber":0,"geomIndex":4876,"lastGeomIndex":4879,"textElement":"200","identifiers":{"ELEMENT_INDICES":"1"},"tableIndex":-1,"rowIndex":55,"cellIndex":7,"fontSize":12,"issueTypeId":"SmallFontSizeIssue:XLSX","dismiss":false,"pageNumbers":[5],"coordinatesList":[[163.87100219726562,215.2073209285736,16.694961547851562,10.998000144958496]]},{"pageNumber":0,"geomIndex":4879,"lastGeomIndex":4884,"textElement":"70000","identifiers":{"ELEMENT_INDICES":"1"},"tableIndex":-1,"rowIndex":55,"cellIndex":8,"fontSize":12,"issueTypeId":"SmallFontSizeIssue:XLSX","dismiss":false,"pageNumbers":[5],"coordinatesList":[[217.4739990234375,215.2073209285736,27.824935913085938,10.998000144958496]]},{"pageNumber":0,"geomIndex":4884,"lastGeomIndex":4894,"textElement":"South Korea","identifiers":{"ELEMENT_INDICES":"1"},"tableIndex":-1,"rowIndex":55,"cellIndex":9,"fontSize":12,"issueTypeId":"SmallFontSizeIssue:XLSX","dismiss":false,"pageNumbers":[5],"coordinatesList":[[247.3509979248047,215.2073209285736,54.61610412597656,10.998000144958496]]},{"pageNumber":0,"geomIndex":4894,"lastGeomIndex":4898,"textElement":"Asia","identifiers":{"ELEMENT_INDICES":"1"},"tableIndex":-1,"rowIndex":55,"cellIndex":10,"fontSize":12,"issueTypeId":"SmallFontSizeIssue:XLSX","dismiss":false,"pageNumbers":[5],"coordinatesList":[[305.6310119628906,215.2073209285736,18.44366455078125,10.998000144958496]]},{"pageNumber":0,"geomIndex":4959,"lastGeomIndex":4962,"textElement":"200","identifiers":{"ELEMENT_INDICES":"1"},"tableIndex":-1,"rowIndex":56,"cellIndex":4,"fontSize":12,"issueTypeId":"SmallFontSizeIssue:XLSX","dismiss":false,"pageNumbers":[5],"coordinatesList":[[163.87100219726562,215.2073209285736,16.694961547851562,10.998000144958496]]},{"pageNumber":0,"geomIndex":4965,"lastGeomIndex":4968,"textElement":"4.8","identifiers":{"ELEMENT_INDICES":"1"},"tableIndex":-1,"rowIndex":56,"cellIndex":6,"fontSize":12,"issueTypeId":"SmallFontSizeIssue:XLSX","dismiss":false,"pageNumbers":[5],"coordinatesList":[[103.80500030517578,230.2032926082611,13.901473999023438,10.998000144958496]]},{"pageNumber":0,"geomIndex":4968,"lastGeomIndex":4971,"textElement":"232","identifiers":{"ELEMENT_INDICES":"1"},"tableIndex":-1,"rowIndex":56,"cellIndex":7,"fontSize":12,"issueTypeId":"SmallFontSizeIssue:XLSX","dismiss":false,"pageNumbers":[5],"coordinatesList":[[163.87100219726562,230.2032926082611,16.694961547851562,10.998000144958496]]},{"pageNumber":0,"geomIndex":4971,"lastGeomIndex":4976,"textElement":"75351","identifiers":{"ELEMENT_INDICES":"1"},"tableIndex":-1,"rowIndex":56,"cellIndex":8,"fontSize":12,"issueTypeId":"SmallFontSizeIssue:XLSX","dismiss":false,"pageNumbers":[5],"coordinatesList":[[217.4739990234375,230.2032926082611,27.824935913085938,10.998000144958496]]},{"pageNumber":0,"geomIndex":4976,"lastGeomIndex":4978,"textElement":"UK","identifiers":{"ELEMENT_INDICES":"1"},"tableIndex":-1,"rowIndex":56,"cellIndex":9,"fontSize":12,"issueTypeId":"SmallFontSizeIssue:XLSX","dismiss":false,"pageNumbers":[5],"coordinatesList":[[247.3509979248047,230.2032926082611,12.757675170898438,10.998000144958496]]},{"pageNumber":0,"geomIndex":4978,"lastGeomIndex":4984,"textElement":"Europe","identifiers":{"ELEMENT_INDICES":"1"},"tableIndex":-1,"rowIndex":56,"cellIndex":10,"fontSize":12,"issueTypeId":"SmallFontSizeIssue:XLSX","dismiss":false,"pageNumbers":[5],"coordinatesList":[[305.6310119628906,410.14631628990173,32.00421142578125,10.998000144958496]]},{"pageNumber":0,"geomIndex":5049,"lastGeomIndex":5052,"textElement":"7.3","identifiers":{"ELEMENT_INDICES":"1"},"tableIndex":-1,"rowIndex":57,"cellIndex":6,"fontSize":12,"issueTypeId":"SmallFontSizeIssue:XLSX","dismiss":false,"pageNumbers":[5],"coordinatesList":[[103.80500030517578,350.1652982234955,13.901473999023438,10.998000144958496]]},{"pageNumber":0,"geomIndex":5052,"lastGeomIndex":5055,"textElement":"161","identifiers":{"ELEMENT_INDICES":"1"},"tableIndex":-1,"rowIndex":57,"cellIndex":7,"fontSize":12,"issueTypeId":"SmallFontSizeIssue:XLSX","dismiss":false,"pageNumbers":[5],"coordinatesList":[[163.87100219726562,245.1982877254486,16.694961547851562,10.998000144958496]]},{"pageNumber":0,"geomIndex":5055,"lastGeomIndex":5060,"textElement":"38017","identifiers":{"ELEMENT_INDICES":"1"},"tableIndex":-1,"rowIndex":57,"cellIndex":8,"fontSize":12,"issueTypeId":"SmallFontSizeIssue:XLSX","dismiss":false,"pageNumbers":[5],"coordinatesList":[[217.4739990234375,245.1982877254486,27.824935913085938,10.998000144958496]]},{"pageNumber":0,"geomIndex":5060,"lastGeomIndex":5067,"textElement":"Germany","identifiers":{"ELEMENT_INDICES":"1"},"tableIndex":-1,"rowIndex":57,"cellIndex":9,"fontSize":12,"issueTypeId":"SmallFontSizeIssue:XLSX","dismiss":false,"pageNumbers":[5],"coordinatesList":[[247.3509979248047,410.14631628990173,41.01155090332031,10.998000144958496]]},{"pageNumber":0,"geomIndex":5067,"lastGeomIndex":5073,"textElement":"Europe","identifiers":{"ELEMENT_INDICES":"1"},"tableIndex":-1,"rowIndex":57,"cellIndex":10,"fontSize":12,"issueTypeId":"SmallFontSizeIssue:XLSX","dismiss":false,"pageNumbers":[5],"coordinatesList":[[305.6310119628906,410.14631628990173,32.00421142578125,10.998000144958496]]},{"pageNumber":0,"geomIndex":5133,"lastGeomIndex":5136,"textElement":"160","identifiers":{"ELEMENT_INDICES":"1"},"tableIndex":-1,"rowIndex":58,"cellIndex":4,"fontSize":12,"issueTypeId":"SmallFontSizeIssue:XLSX","dismiss":false,"pageNumbers":[5],"coordinatesList":[[163.87100219726562,440.13630652427673,16.694961547851562,10.998000144958496]]},{"pageNumber":0,"geomIndex":5139,"lastGeomIndex":5142,"textElement":"6.9","identifiers":{"ELEMENT_INDICES":"1"},"tableIndex":-1,"rowIndex":58,"cellIndex":6,"fontSize":12,"issueTypeId":"SmallFontSizeIssue:XLSX","dismiss":false,"pageNumbers":[5],"coordinatesList":[[103.80500030517578,260.1932828426361,13.901473999023438,10.998000144958496]]},{"pageNumber":0,"geomIndex":5142,"lastGeomIndex":5145,"textElement":"165","identifiers":{"ELEMENT_INDICES":"1"},"tableIndex":-1,"rowIndex":58,"cellIndex":7,"fontSize":12,"issueTypeId":"SmallFontSizeIssue:XLSX","dismiss":false,"pageNumbers":[5],"coordinatesList":[[163.87100219726562,260.1932828426361,16.694961547851562,10.998000144958496]]},{"pageNumber":0,"geomIndex":5145,"lastGeomIndex":5150,"textElement":"41526","identifiers":{"ELEMENT_INDICES":"1"},"tableIndex":-1,"rowIndex":58,"cellIndex":8,"fontSize":12,"issueTypeId":"SmallFontSizeIssue:XLSX","dismiss":false,"pageNumbers":[5],"coordinatesList":[[217.4739990234375,260.1932828426361,27.824935913085938,10.998000144958496]]},{"pageNumber":0,"geomIndex":5150,"lastGeomIndex":5157,"textElement":"Germany","identifiers":{"ELEMENT_INDICES":"1"},"tableIndex":-1,"rowIndex":58,"cellIndex":9,"fontSize":12,"issueTypeId":"SmallFontSizeIssue:XLSX","dismiss":false,"pageNumbers":[5],"coordinatesList":[[247.3509979248047,410.14631628990173,41.01155090332031,10.998000144958496]]},{"pageNumber":0,"geomIndex":5157,"lastGeomIndex":5163,"textElement":"Europe","identifiers":{"ELEMENT_INDICES":"1"},"tableIndex":-1,"rowIndex":58,"cellIndex":10,"fontSize":12,"issueTypeId":"SmallFontSizeIssue:XLSX","dismiss":false,"pageNumbers":[5],"coordinatesList":[[305.6310119628906,410.14631628990173,32.00421142578125,10.998000144958496]]},{"pageNumber":0,"geomIndex":5217,"lastGeomIndex":5220,"textElement":"200","identifiers":{"ELEMENT_INDICES":"1"},"tableIndex":-1,"rowIndex":59,"cellIndex":4,"fontSize":12,"issueTypeId":"SmallFontSizeIssue:XLSX","dismiss":false,"pageNumbers":[5],"coordinatesList":[[163.87100219726562,215.2073209285736,16.694961547851562,10.998000144958496]]},{"pageNumber":0,"geomIndex":5220,"lastGeomIndex":5223,"textElement":"450","identifiers":{"ELEMENT_INDICES":"1"},"tableIndex":-1,"rowIndex":59,"cellIndex":5,"fontSize":12,"issueTypeId":"SmallFontSizeIssue:XLSX","dismiss":false,"pageNumbers":[5],"coordinatesList":[[217.4739990234375,395.15132117271423,16.694961547851562,10.998000144958496]]},{"pageNumber":0,"geomIndex":5223,"lastGeomIndex":5224,"textElement":"4","identifiers":{"ELEMENT_INDICES":"1"},"tableIndex":-1,"rowIndex":59,"cellIndex":6,"fontSize":12,"issueTypeId":"SmallFontSizeIssue:XLSX","dismiss":false,"pageNumbers":[5],"coordinatesList":[[217.4739990234375,425.14131140708923,5.5649871826171875,10.998000144958496]]},{"pageNumber":0,"geomIndex":5224,"lastGeomIndex":5227,"textElement":"178","identifiers":{"ELEMENT_INDICES":"1"},"tableIndex":-1,"rowIndex":59,"cellIndex":7,"fontSize":12,"issueTypeId":"SmallFontSizeIssue:XLSX","dismiss":false,"pageNumbers":[5],"coordinatesList":[[163.87100219726562,275.1882779598236,16.694961547851562,10.998000144958496]]},{"pageNumber":0,"geomIndex":5227,"lastGeomIndex":5232,"textElement":"65000","identifiers":{"ELEMENT_INDICES":"1"},"tableIndex":-1,"rowIndex":59,"cellIndex":8,"fontSize":12,"issueTypeId":"SmallFontSizeIssue:XLSX","dismiss":false,"pageNumbers":[5],"coordinatesList":[[217.4739990234375,275.1882779598236,27.824935913085938,10.998000144958496]]},{"pageNumber":0,"geomIndex":5232,"lastGeomIndex":5239,"textElement":"Germany","identifiers":{"ELEMENT_INDICES":"1"},"tableIndex":-1,"rowIndex":59,"cellIndex":9,"fontSize":12,"issueTypeId":"SmallFontSizeIssue:XLSX","dismiss":false,"pageNumbers":[5],"coordinatesList":[[247.3509979248047,410.14631628990173,41.01155090332031,10.998000144958496]]},{"pageNumber":0,"geomIndex":5239,"lastGeomIndex":5245,"textElement":"Europe","identifiers":{"ELEMENT_INDICES":"1"},"tableIndex":-1,"rowIndex":59,"cellIndex":10,"fontSize":12,"issueTypeId":"SmallFontSizeIssue:XLSX","dismiss":false,"pageNumbers":[5],"coordinatesList":[[305.6310119628906,410.14631628990173,32.00421142578125,10.998000144958496]]},{"pageNumber":0,"geomIndex":5258,"lastGeomIndex":5261,"textElement":"190","identifiers":{"ELEMENT_INDICES":"1"},"tableIndex":-1,"rowIndex":60,"cellIndex":4,"fontSize":12,"issueTypeId":"SmallFontSizeIssue:XLSX","dismiss":false,"pageNumbers":[5],"coordinatesList":[[163.87100219726562,425.14131140708923,16.694961547851562,10.998000144958496]]},{"pageNumber":0,"geomIndex":5264,"lastGeomIndex":5267,"textElement":"3.9","identifiers":{"ELEMENT_INDICES":"1"},"tableIndex":-1,"rowIndex":60,"cellIndex":6,"fontSize":12,"issueTypeId":"SmallFontSizeIssue:XLSX","dismiss":false,"pageNumbers":[5],"coordinatesList":[[103.80500030517578,290.18431067466736,13.901473999023438,10.998000144958496]]},{"pageNumber":0,"geomIndex":5267,"lastGeomIndex":5270,"textElement":"180","identifiers":{"ELEMENT_INDICES":"1"},"tableIndex":-1,"rowIndex":60,"cellIndex":7,"fontSize":12,"issueTypeId":"SmallFontSizeIssue:XLSX","dismiss":false,"pageNumbers":[5],"coordinatesList":[[163.87100219726562,290.18431067466736,16.694961547851562,10.998000144958496]]},{"pageNumber":0,"geomIndex":5270,"lastGeomIndex":5275,"textElement":"58300","identifiers":{"ELEMENT_INDICES":"1"},"tableIndex":-1,"rowIndex":60,"cellIndex":8,"fontSize":12,"issueTypeId":"SmallFontSizeIssue:XLSX","dismiss":false,"pageNumbers":[5],"coordinatesList":[[217.4739990234375,290.18431067466736,27.824935913085938,10.998000144958496]]},{"pageNumber":0,"geomIndex":5275,"lastGeomIndex":5282,"textElement":"Germany","identifiers":{"ELEMENT_INDICES":"1"},"tableIndex":-1,"rowIndex":60,"cellIndex":9,"fontSize":12,"issueTypeId":"SmallFontSizeIssue:XLSX","dismiss":false,"pageNumbers":[5],"coordinatesList":[[247.3509979248047,410.14631628990173,41.01155090332031,10.998000144958496]]},{"pageNumber":0,"geomIndex":5282,"lastGeomIndex":5288,"textElement":"Europe","identifiers":{"ELEMENT_INDICES":"1"},"tableIndex":-1,"rowIndex":60,"cellIndex":10,"fontSize":12,"issueTypeId":"SmallFontSizeIssue:XLSX","dismiss":false,"pageNumbers":[5],"coordinatesList":[[305.6310119628906,410.14631628990173,32.00421142578125,10.998000144958496]]},{"pageNumber":0,"geomIndex":5307,"lastGeomIndex":5310,"textElement":"4.7","identifiers":{"ELEMENT_INDICES":"1"},"tableIndex":-1,"rowIndex":61,"cellIndex":6,"fontSize":12,"issueTypeId":"SmallFontSizeIssue:XLSX","dismiss":false,"pageNumbers":[5],"coordinatesList":[[103.80500030517578,305.17930579185486,13.901473999023438,10.998000144958496]]},{"pageNumber":0,"geomIndex":5310,"lastGeomIndex":5313,"textElement":"206","identifiers":{"ELEMENT_INDICES":"1"},"tableIndex":-1,"rowIndex":61,"cellIndex":7,"fontSize":12,"issueTypeId":"SmallFontSizeIssue:XLSX","dismiss":false,"pageNumbers":[5],"coordinatesList":[[163.87100219726562,485.12229895591736,16.694961547851562,10.998000144958496]]},{"pageNumber":0,"geomIndex":5313,"lastGeomIndex":5319,"textElement":"135000","identifiers":{"ELEMENT_INDICES":"1"},"tableIndex":-1,"rowIndex":61,"cellIndex":8,"fontSize":12,"issueTypeId":"SmallFontSizeIssue:XLSX","dismiss":false,"pageNumbers":[5],"coordinatesList":[[211.88999938964844,305.17930579185486,33.389923095703125,10.998000144958496]]},{"pageNumber":0,"geomIndex":5319,"lastGeomIndex":5326,"textElement":"Germany","identifiers":{"ELEMENT_INDICES":"1"},"tableIndex":-1,"rowIndex":61,"cellIndex":9,"fontSize":12,"issueTypeId":"SmallFontSizeIssue:XLSX","dismiss":false,"pageNumbers":[5],"coordinatesList":[[247.3509979248047,410.14631628990173,41.01155090332031,10.998000144958496]]},{"pageNumber":0,"geomIndex":5326,"lastGeomIndex":5332,"textElement":"Europe","identifiers":{"ELEMENT_INDICES":"1"},"tableIndex":-1,"rowIndex":61,"cellIndex":10,"fontSize":12,"issueTypeId":"SmallFontSizeIssue:XLSX","dismiss":false,"pageNumbers":[5],"coordinatesList":[[305.6310119628906,410.14631628990173,32.00421142578125,10.998000144958496]]},{"pageNumber":0,"geomIndex":5398,"lastGeomIndex":5401,"textElement":"160","identifiers":{"ELEMENT_INDICES":"1"},"tableIndex":-1,"rowIndex":62,"cellIndex":4,"fontSize":12,"issueTypeId":"SmallFontSizeIssue:XLSX","dismiss":false,"pageNumbers":[5],"coordinatesList":[[163.87100219726562,440.13630652427673,16.694961547851562,10.998000144958496]]},{"pageNumber":0,"geomIndex":5404,"lastGeomIndex":5407,"textElement":"7.3","identifiers":{"ELEMENT_INDICES":"1"},"tableIndex":-1,"rowIndex":62,"cellIndex":6,"fontSize":12,"issueTypeId":"SmallFontSizeIssue:XLSX","dismiss":false,"pageNumbers":[5],"coordinatesList":[[103.80500030517578,350.1652982234955,13.901473999023438,10.998000144958496]]},{"pageNumber":0,"geomIndex":5407,"lastGeomIndex":5410,"textElement":"171","identifiers":{"ELEMENT_INDICES":"1"},"tableIndex":-1,"rowIndex":62,"cellIndex":7,"fontSize":12,"issueTypeId":"SmallFontSizeIssue:XLSX","dismiss":false,"pageNumbers":[5],"coordinatesList":[[163.87100219726562,350.1652982234955,16.694961547851562,10.998000144958496]]},{"pageNumber":0,"geomIndex":5410,"lastGeomIndex":5415,"textElement":"38987","identifiers":{"ELEMENT_INDICES":"1"},"tableIndex":-1,"rowIndex":62,"cellIndex":8,"fontSize":12,"issueTypeId":"SmallFontSizeIssue:XLSX","dismiss":false,"pageNumbers":[5],"coordinatesList":[[217.4739990234375,320.17430090904236,27.824935913085938,10.998000144958496]]},{"pageNumber":0,"geomIndex":5415,"lastGeomIndex":5422,"textElement":"Germany","identifiers":{"ELEMENT_INDICES":"1"},"tableIndex":-1,"rowIndex":62,"cellIndex":9,"fontSize":12,"issueTypeId":"SmallFontSizeIssue:XLSX","dismiss":false,"pageNumbers":[5],"coordinatesList":[[247.3509979248047,410.14631628990173,41.01155090332031,10.998000144958496]]},{"pageNumber":0,"geomIndex":5422,"lastGeomIndex":5428,"textElement":"Europe","identifiers":{"ELEMENT_INDICES":"1"},"tableIndex":-1,"rowIndex":62,"cellIndex":10,"fontSize":12,"issueTypeId":"SmallFontSizeIssue:XLSX","dismiss":false,"pageNumbers":[5],"coordinatesList":[[305.6310119628906,410.14631628990173,32.00421142578125,10.998000144958496]]},{"pageNumber":0,"geomIndex":5494,"lastGeomIndex":5497,"textElement":"160","identifiers":{"ELEMENT_INDICES":"1"},"tableIndex":-1,"rowIndex":63,"cellIndex":4,"fontSize":12,"issueTypeId":"SmallFontSizeIssue:XLSX","dismiss":false,"pageNumbers":[5],"coordinatesList":[[163.87100219726562,440.13630652427673,16.694961547851562,10.998000144958496]]},{"pageNumber":0,"geomIndex":5497,"lastGeomIndex":5500,"textElement":"350","identifiers":{"ELEMENT_INDICES":"1"},"tableIndex":-1,"rowIndex":63,"cellIndex":5,"fontSize":12,"issueTypeId":"SmallFontSizeIssue:XLSX","dismiss":false,"pageNumbers":[5],"coordinatesList":[[217.45498657226562,305.17930579185486,16.694961547851562,10.998000144958496]]},{"pageNumber":0,"geomIndex":5500,"lastGeomIndex":5501,"textElement":"9","identifiers":{"ELEMENT_INDICES":"1"},"tableIndex":-1,"rowIndex":63,"cellIndex":6,"fontSize":12,"issueTypeId":"SmallFontSizeIssue:XLSX","dismiss":false,"pageNumbers":[5],"coordinatesList":[[169.4359893798828,425.14131140708923,5.5649871826171875,10.998000144958496]]},{"pageNumber":0,"geomIndex":5501,"lastGeomIndex":5504,"textElement":"166","identifiers":{"ELEMENT_INDICES":"1"},"tableIndex":-1,"rowIndex":63,"cellIndex":7,"fontSize":12,"issueTypeId":"SmallFontSizeIssue:XLSX","dismiss":false,"pageNumbers":[5],"coordinatesList":[[163.87100219726562,335.170303106308,16.694961547851562,10.998000144958496]]},{"pageNumber":0,"geomIndex":5504,"lastGeomIndex":5509,"textElement":"33000","identifiers":{"ELEMENT_INDICES":"1"},"tableIndex":-1,"rowIndex":63,"cellIndex":8,"fontSize":12,"issueTypeId":"SmallFontSizeIssue:XLSX","dismiss":false,"pageNumbers":[5],"coordinatesList":[[217.4739990234375,335.170303106308,27.824935913085938,10.998000144958496]]},{"pageNumber":0,"geomIndex":5509,"lastGeomIndex":5516,"textElement":"Germany","identifiers":{"ELEMENT_INDICES":"1"},"tableIndex":-1,"rowIndex":63,"cellIndex":9,"fontSize":12,"issueTypeId":"SmallFontSizeIssue:XLSX","dismiss":false,"pageNumbers":[5],"coordinatesList":[[247.3509979248047,410.14631628990173,41.01155090332031,10.998000144958496]]},{"pageNumber":0,"geomIndex":5516,"lastGeomIndex":5522,"textElement":"Europe","identifiers":{"ELEMENT_INDICES":"1"},"tableIndex":-1,"rowIndex":63,"cellIndex":10,"fontSize":12,"issueTypeId":"SmallFontSizeIssue:XLSX","dismiss":false,"pageNumbers":[5],"coordinatesList":[[305.6310119628906,410.14631628990173,32.00421142578125,10.998000144958496]]},{"pageNumber":0,"geomIndex":5599,"lastGeomIndex":5602,"textElement":"160","identifiers":{"ELEMENT_INDICES":"1"},"tableIndex":-1,"rowIndex":64,"cellIndex":4,"fontSize":12,"issueTypeId":"SmallFontSizeIssue:XLSX","dismiss":false,"pageNumbers":[5],"coordinatesList":[[163.87100219726562,440.13630652427673,16.694961547851562,10.998000144958496]]},{"pageNumber":0,"geomIndex":5605,"lastGeomIndex":5608,"textElement":"7.3","identifiers":{"ELEMENT_INDICES":"1"},"tableIndex":-1,"rowIndex":64,"cellIndex":6,"fontSize":12,"issueTypeId":"SmallFontSizeIssue:XLSX","dismiss":false,"pageNumbers":[5],"coordinatesList":[[103.80500030517578,350.1652982234955,13.901473999023438,10.998000144958496]]},{"pageNumber":0,"geomIndex":5608,"lastGeomIndex":5611,"textElement":"171","identifiers":{"ELEMENT_INDICES":"1"},"tableIndex":-1,"rowIndex":64,"cellIndex":7,"fontSize":12,"issueTypeId":"SmallFontSizeIssue:XLSX","dismiss":false,"pageNumbers":[5],"coordinatesList":[[163.87100219726562,350.1652982234955,16.694961547851562,10.998000144958496]]},{"pageNumber":0,"geomIndex":5611,"lastGeomIndex":5616,"textElement":"35575","identifiers":{"ELEMENT_INDICES":"1"},"tableIndex":-1,"rowIndex":64,"cellIndex":8,"fontSize":12,"issueTypeId":"SmallFontSizeIssue:XLSX","dismiss":false,"pageNumbers":[5],"coordinatesList":[[217.4739990234375,350.1652982234955,27.824935913085938,10.998000144958496]]},{"pageNumber":0,"geomIndex":5616,"lastGeomIndex":5623,"textElement":"Germany","identifiers":{"ELEMENT_INDICES":"1"},"tableIndex":-1,"rowIndex":64,"cellIndex":9,"fontSize":12,"issueTypeId":"SmallFontSizeIssue:XLSX","dismiss":false,"pageNumbers":[5],"coordinatesList":[[247.3509979248047,410.14631628990173,41.01155090332031,10.998000144958496]]},{"pageNumber":0,"geomIndex":5623,"lastGeomIndex":5629,"textElement":"Europe","identifiers":{"ELEMENT_INDICES":"1"},"tableIndex":-1,"rowIndex":64,"cellIndex":10,"fontSize":12,"issueTypeId":"SmallFontSizeIssue:XLSX","dismiss":false,"pageNumbers":[5],"coordinatesList":[[305.6310119628906,410.14631628990173,32.00421142578125,10.998000144958496]]},{"pageNumber":0,"geomIndex":5696,"lastGeomIndex":5699,"textElement":"160","identifiers":{"ELEMENT_INDICES":"1"},"tableIndex":-1,"rowIndex":65,"cellIndex":4,"fontSize":12,"issueTypeId":"SmallFontSizeIssue:XLSX","dismiss":false,"pageNumbers":[5],"coordinatesList":[[163.87100219726562,440.13630652427673,16.694961547851562,10.998000144958496]]},{"pageNumber":0,"geomIndex":5702,"lastGeomIndex":5705,"textElement":"7.9","identifiers":{"ELEMENT_INDICES":"1"},"tableIndex":-1,"rowIndex":65,"cellIndex":6,"fontSize":12,"issueTypeId":"SmallFontSizeIssue:XLSX","dismiss":false,"pageNumbers":[5],"coordinatesList":[[103.80500030517578,365.160293340683,13.901473999023438,10.998000144958496]]},{"pageNumber":0,"geomIndex":5705,"lastGeomIndex":5708,"textElement":"175","identifiers":{"ELEMENT_INDICES":"1"},"tableIndex":-1,"rowIndex":65,"cellIndex":7,"fontSize":12,"issueTypeId":"SmallFontSizeIssue:XLSX","dismiss":false,"pageNumbers":[5],"coordinatesList":[[163.87100219726562,365.160293340683,16.694961547851562,10.998000144958496]]},{"pageNumber":0,"geomIndex":5708,"lastGeomIndex":5713,"textElement":"40936","identifiers":{"ELEMENT_INDICES":"1"},"tableIndex":-1,"rowIndex":65,"cellIndex":8,"fontSize":12,"issueTypeId":"SmallFontSizeIssue:XLSX","dismiss":false,"pageNumbers":[5],"coordinatesList":[[217.4739990234375,365.160293340683,27.824935913085938,10.998000144958496]]},{"pageNumber":0,"geomIndex":5713,"lastGeomIndex":5720,"textElement":"Germany","identifiers":{"ELEMENT_INDICES":"1"},"tableIndex":-1,"rowIndex":65,"cellIndex":9,"fontSize":12,"issueTypeId":"SmallFontSizeIssue:XLSX","dismiss":false,"pageNumbers":[5],"coordinatesList":[[247.3509979248047,410.14631628990173,41.01155090332031,10.998000144958496]]},{"pageNumber":0,"geomIndex":5720,"lastGeomIndex":5726,"textElement":"Europe","identifiers":{"ELEMENT_INDICES":"1"},"tableIndex":-1,"rowIndex":65,"cellIndex":10,"fontSize":12,"issueTypeId":"SmallFontSizeIssue:XLSX","dismiss":false,"pageNumbers":[6],"coordinatesList":[[305.6310119628906,290.18431067466736,32.00421142578125,10.998000144958496]]},{"pageNumber":0,"geomIndex":5793,"lastGeomIndex":5796,"textElement":"160","identifiers":{"ELEMENT_INDICES":"1"},"tableIndex":-1,"rowIndex":66,"cellIndex":4,"fontSize":12,"issueTypeId":"SmallFontSizeIssue:XLSX","dismiss":false,"pageNumbers":[6],"coordinatesList":[[163.87100219726562,80.25028967857361,16.694961547851562,10.998000144958496]]},{"pageNumber":0,"geomIndex":5796,"lastGeomIndex":5799,"textElement":"270","identifiers":{"ELEMENT_INDICES":"1"},"tableIndex":-1,"rowIndex":66,"cellIndex":5,"fontSize":12,"issueTypeId":"SmallFontSizeIssue:XLSX","dismiss":false,"pageNumbers":[6],"coordinatesList":[[163.87100219726562,230.2032926082611,16.694961547851562,10.998000144958496]]},{"pageNumber":0,"geomIndex":5799,"lastGeomIndex":5801,"textElement":"10","identifiers":{"ELEMENT_INDICES":"1"},"tableIndex":-1,"rowIndex":66,"cellIndex":6,"fontSize":12,"issueTypeId":"SmallFontSizeIssue:XLSX","dismiss":false,"pageNumbers":[6],"coordinatesList":[[211.88999938964844,290.18431067466736,11.129974365234375,10.998000144958496]]},{"pageNumber":0,"geomIndex":5804,"lastGeomIndex":5809,"textElement":"30000","identifiers":{"ELEMENT_INDICES":"1"},"tableIndex":-1,"rowIndex":66,"cellIndex":8,"fontSize":12,"issueTypeId":"SmallFontSizeIssue:XLSX","dismiss":false,"pageNumbers":[6],"coordinatesList":[[217.4739990234375,470.12730383872986,27.824935913085938,10.998000144958496]]},{"pageNumber":0,"geomIndex":5809,"lastGeomIndex":5816,"textElement":"Germany","identifiers":{"ELEMENT_INDICES":"1"},"tableIndex":-1,"rowIndex":66,"cellIndex":9,"fontSize":12,"issueTypeId":"SmallFontSizeIssue:XLSX","dismiss":false,"pageNumbers":[6],"coordinatesList":[[247.3509979248047,290.18431067466736,41.01155090332031,10.998000144958496]]},{"pageNumber":0,"geomIndex":5816,"lastGeomIndex":5822,"textElement":"Europe","identifiers":{"ELEMENT_INDICES":"1"},"tableIndex":-1,"rowIndex":66,"cellIndex":10,"fontSize":12,"issueTypeId":"SmallFontSizeIssue:XLSX","dismiss":false,"pageNumbers":[6],"coordinatesList":[[305.6310119628906,290.18431067466736,32.00421142578125,10.998000144958496]]},{"pageNumber":0,"geomIndex":5885,"lastGeomIndex":5888,"textElement":"160","identifiers":{"ELEMENT_INDICES":"1"},"tableIndex":-1,"rowIndex":67,"cellIndex":4,"fontSize":12,"issueTypeId":"SmallFontSizeIssue:XLSX","dismiss":false,"pageNumbers":[6],"coordinatesList":[[163.87100219726562,80.25028967857361,16.694961547851562,10.998000144958496]]},{"pageNumber":0,"geomIndex":5888,"lastGeomIndex":5891,"textElement":"420","identifiers":{"ELEMENT_INDICES":"1"},"tableIndex":-1,"rowIndex":67,"cellIndex":5,"fontSize":12,"issueTypeId":"SmallFontSizeIssue:XLSX","dismiss":false,"pageNumbers":[6],"coordinatesList":[[217.4739990234375,170.2223355770111,16.694961547851562,10.998000144958496]]},{"pageNumber":0,"geomIndex":5891,"lastGeomIndex":5894,"textElement":"7.5","identifiers":{"ELEMENT_INDICES":"1"},"tableIndex":-1,"rowIndex":67,"cellIndex":6,"fontSize":12,"issueTypeId":"SmallFontSizeIssue:XLSX","dismiss":false,"pageNumbers":[6],"coordinatesList":[[103.80500030517578,395.15132117271423,13.901473999023438,10.998000144958496]]},{"pageNumber":0,"geomIndex":5897,"lastGeomIndex":5902,"textElement":"45000","identifiers":{"ELEMENT_INDICES":"1"},"tableIndex":-1,"rowIndex":67,"cellIndex":8,"fontSize":12,"issueTypeId":"SmallFontSizeIssue:XLSX","dismiss":false,"pageNumbers":[6],"coordinatesList":[[217.4739990234375,275.1882779598236,27.824935913085938,10.998000144958496]]},{"pageNumber":0,"geomIndex":5902,"lastGeomIndex":5909,"textElement":"Germany","identifiers":{"ELEMENT_INDICES":"1"},"tableIndex":-1,"rowIndex":67,"cellIndex":9,"fontSize":12,"issueTypeId":"SmallFontSizeIssue:XLSX","dismiss":false,"pageNumbers":[6],"coordinatesList":[[247.3509979248047,290.18431067466736,41.01155090332031,10.998000144958496]]},{"pageNumber":0,"geomIndex":5909,"lastGeomIndex":5915,"textElement":"Europe","identifiers":{"ELEMENT_INDICES":"1"},"tableIndex":-1,"rowIndex":67,"cellIndex":10,"fontSize":12,"issueTypeId":"SmallFontSizeIssue:XLSX","dismiss":false,"pageNumbers":[6],"coordinatesList":[[305.6310119628906,290.18431067466736,32.00421142578125,10.998000144958496]]},{"pageNumber":0,"geomIndex":5937,"lastGeomIndex":5940,"textElement":"180","identifiers":{"ELEMENT_INDICES":"1"},"tableIndex":-1,"rowIndex":68,"cellIndex":4,"fontSize":12,"issueTypeId":"SmallFontSizeIssue:XLSX","dismiss":false,"pageNumbers":[6],"coordinatesList":[[163.87100219726562,275.1882779598236,16.694961547851562,10.998000144958496]]},{"pageNumber":0,"geomIndex":5943,"lastGeomIndex":5944,"textElement":"5","identifiers":{"ELEMENT_INDICES":"1"},"tableIndex":-1,"rowIndex":68,"cellIndex":6,"fontSize":12,"issueTypeId":"SmallFontSizeIssue:XLSX","dismiss":false,"pageNumbers":[6],"coordinatesList":[[175.0009765625,290.18431067466736,5.5649871826171875,10.998000144958496]]},{"pageNumber":0,"geomIndex":5947,"lastGeomIndex":5952,"textElement":"55000","identifiers":{"ELEMENT_INDICES":"1"},"tableIndex":-1,"rowIndex":68,"cellIndex":8,"fontSize":12,"issueTypeId":"SmallFontSizeIssue:XLSX","dismiss":false,"pageNumbers":[6],"coordinatesList":[[217.4739990234375,200.2123258113861,27.824935913085938,10.998000144958496]]},{"pageNumber":0,"geomIndex":5952,"lastGeomIndex":5959,"textElement":"Germany","identifiers":{"ELEMENT_INDICES":"1"},"tableIndex":-1,"rowIndex":68,"cellIndex":9,"fontSize":12,"issueTypeId":"SmallFontSizeIssue:XLSX","dismiss":false,"pageNumbers":[6],"coordinatesList":[[247.3509979248047,290.18431067466736,41.01155090332031,10.998000144958496]]},{"pageNumber":0,"geomIndex":5959,"lastGeomIndex":5965,"textElement":"Europe","identifiers":{"ELEMENT_INDICES":"1"},"tableIndex":-1,"rowIndex":68,"cellIndex":10,"fontSize":12,"issueTypeId":"SmallFontSizeIssue:XLSX","dismiss":false,"pageNumbers":[6],"coordinatesList":[[305.6310119628906,290.18431067466736,32.00421142578125,10.998000144958496]]},{"pageNumber":0,"geomIndex":6003,"lastGeomIndex":6013,"textElement":"South Korea","identifiers":{"ELEMENT_INDICES":"1"},"tableIndex":-1,"rowIndex":69,"cellIndex":9,"fontSize":12,"issueTypeId":"SmallFontSizeIssue:XLSX","dismiss":false,"pageNumbers":[6],"coordinatesList":[[247.3509979248047,170.2223355770111,54.61610412597656,10.998000144958496]]},{"pageNumber":0,"geomIndex":6013,"lastGeomIndex":6017,"textElement":"Asia","identifiers":{"ELEMENT_INDICES":"1"},"tableIndex":-1,"rowIndex":69,"cellIndex":10,"fontSize":12,"issueTypeId":"SmallFontSizeIssue:XLSX","dismiss":false,"pageNumbers":[6],"coordinatesList":[[305.6310119628906,275.1882779598236,18.44366455078125,10.998000144958496]]},{"pageNumber":0,"geomIndex":6047,"lastGeomIndex":6050,"textElement":"160","identifiers":{"ELEMENT_INDICES":"1"},"tableIndex":-1,"rowIndex":70,"cellIndex":7,"fontSize":12,"issueTypeId":"SmallFontSizeIssue:XLSX","dismiss":false,"pageNumbers":[6],"coordinatesList":[[163.87100219726562,80.25028967857361,16.694961547851562,10.998000144958496]]},{"pageNumber":0,"geomIndex":6055,"lastGeomIndex":6065,"textElement":"South Korea","identifiers":{"ELEMENT_INDICES":"1"},"tableIndex":-1,"rowIndex":70,"cellIndex":9,"fontSize":12,"issueTypeId":"SmallFontSizeIssue:XLSX","dismiss":false,"pageNumbers":[6],"coordinatesList":[[247.3509979248047,170.2223355770111,54.61610412597656,10.998000144958496]]},{"pageNumber":0,"geomIndex":6065,"lastGeomIndex":6069,"textElement":"Asia","identifiers":{"ELEMENT_INDICES":"1"},"tableIndex":-1,"rowIndex":70,"cellIndex":10,"fontSize":12,"issueTypeId":"SmallFontSizeIssue:XLSX","dismiss":false,"pageNumbers":[6],"coordinatesList":[[305.6310119628906,275.1882779598236,18.44366455078125,10.998000144958496]]},{"pageNumber":0,"geomIndex":6138,"lastGeomIndex":6141,"textElement":"165","identifiers":{"ELEMENT_INDICES":"1"},"tableIndex":-1,"rowIndex":71,"cellIndex":4,"fontSize":12,"issueTypeId":"SmallFontSizeIssue:XLSX","dismiss":false,"pageNumbers":[6],"coordinatesList":[[163.87100219726562,440.13630652427673,16.694961547851562,10.998000144958496]]},{"pageNumber":0,"geomIndex":6155,"lastGeomIndex":6165,"textElement":"South Korea","identifiers":{"ELEMENT_INDICES":"1"},"tableIndex":-1,"rowIndex":71,"cellIndex":9,"fontSize":12,"issueTypeId":"SmallFontSizeIssue:XLSX","dismiss":false,"pageNumbers":[6],"coordinatesList":[[247.3509979248047,170.2223355770111,54.61610412597656,10.998000144958496]]},{"pageNumber":0,"geomIndex":6165,"lastGeomIndex":6169,"textElement":"Asia","identifiers":{"ELEMENT_INDICES":"1"},"tableIndex":-1,"rowIndex":71,"cellIndex":10,"fontSize":12,"issueTypeId":"SmallFontSizeIssue:XLSX","dismiss":false,"pageNumbers":[6],"coordinatesList":[[305.6310119628906,275.1882779598236,18.44366455078125,10.998000144958496]]},{"pageNumber":0,"geomIndex":6182,"lastGeomIndex":6185,"textElement":"200","identifiers":{"ELEMENT_INDICES":"1"},"tableIndex":-1,"rowIndex":72,"cellIndex":4,"fontSize":12,"issueTypeId":"SmallFontSizeIssue:XLSX","dismiss":false,"pageNumbers":[6],"coordinatesList":[[223.0389862060547,230.2032926082611,16.694961547851562,10.998000144958496]]},{"pageNumber":0,"geomIndex":6199,"lastGeomIndex":6206,"textElement":"Germany","identifiers":{"ELEMENT_INDICES":"1"},"tableIndex":-1,"rowIndex":72,"cellIndex":9,"fontSize":12,"issueTypeId":"SmallFontSizeIssue:XLSX","dismiss":false,"pageNumbers":[6],"coordinatesList":[[247.3509979248047,290.18431067466736,41.01155090332031,10.998000144958496]]},{"pageNumber":0,"geomIndex":6206,"lastGeomIndex":6212,"textElement":"Europe","identifiers":{"ELEMENT_INDICES":"1"},"tableIndex":-1,"rowIndex":72,"cellIndex":10,"fontSize":12,"issueTypeId":"SmallFontSizeIssue:XLSX","dismiss":false,"pageNumbers":[6],"coordinatesList":[[305.6310119628906,290.18431067466736,32.00421142578125,10.998000144958496]]},{"pageNumber":0,"geomIndex":6267,"lastGeomIndex":6270,"textElement":"180","identifiers":{"ELEMENT_INDICES":"1"},"tableIndex":-1,"rowIndex":73,"cellIndex":4,"fontSize":12,"issueTypeId":"SmallFontSizeIssue:XLSX","dismiss":false,"pageNumbers":[6],"coordinatesList":[[163.87100219726562,275.1882779598236,16.694961547851562,10.998000144958496]]},{"pageNumber":0,"geomIndex":6270,"lastGeomIndex":6273,"textElement":"360","identifiers":{"ELEMENT_INDICES":"1"},"tableIndex":-1,"rowIndex":73,"cellIndex":5,"fontSize":12,"issueTypeId":"SmallFontSizeIssue:XLSX","dismiss":false,"pageNumbers":[6],"coordinatesList":[[217.4739990234375,380.1553189754486,16.694961547851562,10.998000144958496]]},{"pageNumber":0,"geomIndex":6276,"lastGeomIndex":6279,"textElement":"206","identifiers":{"ELEMENT_INDICES":"1"},"tableIndex":-1,"rowIndex":73,"cellIndex":7,"fontSize":12,"issueTypeId":"SmallFontSizeIssue:XLSX","dismiss":false,"pageNumbers":[6],"coordinatesList":[[163.87100219726562,245.1982877254486,16.694961547851562,10.998000144958496]]},{"pageNumber":0,"geomIndex":6284,"lastGeomIndex":6291,"textElement":"Germany","identifiers":{"ELEMENT_INDICES":"1"},"tableIndex":-1,"rowIndex":73,"cellIndex":9,"fontSize":12,"issueTypeId":"SmallFontSizeIssue:XLSX","dismiss":false,"pageNumbers":[6],"coordinatesList":[[247.3509979248047,290.18431067466736,41.01155090332031,10.998000144958496]]},{"pageNumber":0,"geomIndex":6291,"lastGeomIndex":6297,"textElement":"Europe","identifiers":{"ELEMENT_INDICES":"1"},"tableIndex":-1,"rowIndex":73,"cellIndex":10,"fontSize":12,"issueTypeId":"SmallFontSizeIssue:XLSX","dismiss":false,"pageNumbers":[6],"coordinatesList":[[305.6310119628906,290.18431067466736,32.00421142578125,10.998000144958496]]},{"pageNumber":0,"geomIndex":6397,"lastGeomIndex":6404,"textElement":"Hyundai","identifiers":{"ELEMENT_INDICES":"1"},"tableIndex":-1,"rowIndex":75,"cellIndex":0,"fontSize":12,"issueTypeId":"SmallFontSizeIssue:XLSX","dismiss":false,"pageNumbers":[7],"coordinatesList":[[51.391998291015625,272.18431067466736,36.93128204345703,10.998000144958496]]},{"pageNumber":0,"geomIndex":6404,"lastGeomIndex":6421,"textElement":"Kona Electric 39 kWh","identifiers":{"ELEMENT_INDICES":"1"},"tableIndex":-1,"rowIndex":75,"cellIndex":1,"fontSize":12,"issueTypeId":"SmallFontSizeIssue:XLSX","dismiss":false,"pageNumbers":[7],"coordinatesList":[[110.63600158691406,677.056304693222,94.329833984375,10.998000144958496]]},{"pageNumber":0,"geomIndex":6501,"lastGeomIndex":6508,"textElement":"Hyundai","identifiers":{"ELEMENT_INDICES":"1"},"tableIndex":-1,"rowIndex":76,"cellIndex":0,"fontSize":12,"issueTypeId":"SmallFontSizeIssue:XLSX","dismiss":false,"pageNumbers":[7],"coordinatesList":[[51.391998291015625,272.18431067466736,36.93128204345703,10.998000144958496]]},{"pageNumber":0,"geomIndex":6508,"lastGeomIndex":6525,"textElement":"Kona Electric 64 kWh","identifiers":{"ELEMENT_INDICES":"1"},"tableIndex":-1,"rowIndex":76,"cellIndex":1,"fontSize":12,"issueTypeId":"SmallFontSizeIssue:XLSX","dismiss":false,"pageNumbers":[7],"coordinatesList":[[110.63600158691406,242.1932828426361,94.329833984375,10.998000144958496]]},{"pageNumber":0,"geomIndex":6577,"lastGeomIndex":6580,"textElement":"400","identifiers":{"ELEMENT_INDICES":"1"},"tableIndex":-1,"rowIndex":76,"cellIndex":5,"fontSize":12,"issueTypeId":"SmallFontSizeIssue:XLSX","dismiss":false,"pageNumbers":[7],"coordinatesList":[[131.7411651611328,212.2032926082611,16.694961547851562,10.998000144958496]]},{"pageNumber":0,"geomIndex":6605,"lastGeomIndex":6611,"textElement":"Nissan","identifiers":{"ELEMENT_INDICES":"1"},"tableIndex":-1,"rowIndex":77,"cellIndex":0,"fontSize":12,"issueTypeId":"SmallFontSizeIssue:XLSX","dismiss":false,"pageNumbers":[7],"coordinatesList":[[51.391998291015625,587.0843045711517,29.254684448242188,10.998000144958496]]},{"pageNumber":0,"geomIndex":6611,"lastGeomIndex":6615,"textElement":"Leaf","identifiers":{"ELEMENT_INDICES":"1"},"tableIndex":-1,"rowIndex":77,"cellIndex":1,"fontSize":12,"issueTypeId":"SmallFontSizeIssue:XLSX","dismiss":false,"pageNumbers":[7],"coordinatesList":[[110.63600158691406,587.0843045711517,18.707595825195312,10.998000144958496]]},{"pageNumber":0,"geomIndex":6667,"lastGeomIndex":6670,"textElement":"220","identifiers":{"ELEMENT_INDICES":"1"},"tableIndex":-1,"rowIndex":77,"cellIndex":5,"fontSize":12,"issueTypeId":"SmallFontSizeIssue:XLSX","dismiss":false,"pageNumbers":[7],"coordinatesList":[[263.0270080566406,92.24027991294861,53.64898681640625,10.998000144958496]]},{"pageNumber":0,"geomIndex":6690,"lastGeomIndex":6696,"textElement":"Nissan","identifiers":{"ELEMENT_INDICES":"1"},"tableIndex":-1,"rowIndex":78,"cellIndex":0,"fontSize":12,"issueTypeId":"SmallFontSizeIssue:XLSX","dismiss":false,"pageNumbers":[7],"coordinatesList":[[51.391998291015625,587.0843045711517,29.254684448242188,10.998000144958496]]},{"pageNumber":0,"geomIndex":6696,"lastGeomIndex":6702,"textElement":"Leaf e+","identifiers":{"ELEMENT_INDICES":"1"},"tableIndex":-1,"rowIndex":78,"cellIndex":1,"fontSize":12,"issueTypeId":"SmallFontSizeIssue:XLSX","dismiss":false,"pageNumbers":[7],"coordinatesList":[[110.63600158691406,587.0843045711517,32.13615417480469,10.998000144958496]]},{"pageNumber":0,"geomIndex":6801,"lastGeomIndex":6804,"textElement":"502","identifiers":{"ELEMENT_INDICES":"1"},"tableIndex":-1,"rowIndex":79,"cellIndex":5,"fontSize":12,"issueTypeId":"SmallFontSizeIssue:XLSX","dismiss":false,"pageNumbers":[7],"coordinatesList":[[151.5155792236328,392.14631628990173,159.5954132080078,10.998000144958496]]},{"pageNumber":0,"geomIndex":6844,"lastGeomIndex":6848,"textElement":"2024","identifiers":{"ELEMENT_INDICES":"1"},"tableIndex":-1,"rowIndex":80,"cellIndex":2,"fontSize":12,"issueTypeId":"SmallFontSizeIssue:XLSX","dismiss":false,"pageNumbers":[7],"coordinatesList":[[324.8111572265625,557.0943143367767,22.260009765625,10.998000144958496]]},{"pageNumber":0,"geomIndex":6878,"lastGeomIndex":6882,"textElement":"SEAT","identifiers":{"ELEMENT_INDICES":"1"},"tableIndex":-1,"rowIndex":81,"cellIndex":0,"fontSize":12,"issueTypeId":"SmallFontSizeIssue:XLSX","dismiss":false,"pageNumbers":[7],"coordinatesList":[[51.391998291015625,722.0423047542572,22.127975463867188,10.998000144958496]]},{"pageNumber":0,"geomIndex":6882,"lastGeomIndex":6893,"textElement":"Mii Electric","identifiers":{"ELEMENT_INDICES":"1"},"tableIndex":-1,"rowIndex":81,"cellIndex":1,"fontSize":12,"issueTypeId":"SmallFontSizeIssue:XLSX","dismiss":false,"pageNumbers":[7],"coordinatesList":[[110.63600158691406,722.0423047542572,49.567962646484375,10.998000144958496]]},{"pageNumber":0,"geomIndex":6971,"lastGeomIndex":6976,"textElement":"Tesla","identifiers":{"ELEMENT_INDICES":"1"},"tableIndex":-1,"rowIndex":82,"cellIndex":0,"fontSize":12,"issueTypeId":"SmallFontSizeIssue:XLSX","dismiss":false,"pageNumbers":[7],"coordinatesList":[[51.391998291015625,422.13630652427673,22.908836364746094,10.998000144958496]]},{"pageNumber":0,"geomIndex":6976,"lastGeomIndex":7000,"textElement":"Model 3 Long Range Dual Motor","identifiers":{"ELEMENT_INDICES":"1"},"tableIndex":-1,"rowIndex":82,"cellIndex":1,"fontSize":12,"issueTypeId":"SmallFontSizeIssue:XLSX","dismiss":false,"pageNumbers":[7],"coordinatesList":[[110.63600158691406,62.25028967857361,144.7446746826172,10.998000144958496]]},{"pageNumber":0,"geomIndex":7076,"lastGeomIndex":7081,"textElement":"Tesla","identifiers":{"ELEMENT_INDICES":"1"},"tableIndex":-1,"rowIndex":83,"cellIndex":0,"fontSize":12,"issueTypeId":"SmallFontSizeIssue:XLSX","dismiss":false,"pageNumbers":[7],"coordinatesList":[[51.391998291015625,422.13630652427673,22.908836364746094,10.998000144958496]]},{"pageNumber":0,"geomIndex":7081,"lastGeomIndex":7107,"textElement":"Model 3 Long Range Performance","identifiers":{"ELEMENT_INDICES":"1"},"tableIndex":-1,"rowIndex":83,"cellIndex":1,"fontSize":12,"issueTypeId":"SmallFontSizeIssue:XLSX","dismiss":false,"pageNumbers":[7],"coordinatesList":[[110.63600158691406,422.13630652427673,151.3214874267578,10.998000144958496]]},{"pageNumber":0,"geomIndex":7183,"lastGeomIndex":7188,"textElement":"Tesla","identifiers":{"ELEMENT_INDICES":"1"},"tableIndex":-1,"rowIndex":84,"cellIndex":0,"fontSize":12,"issueTypeId":"SmallFontSizeIssue:XLSX","dismiss":false,"pageNumbers":[7],"coordinatesList":[[51.391998291015625,422.13630652427673,22.908836364746094,10.998000144958496]]},{"pageNumber":0,"geomIndex":7188,"lastGeomIndex":7211,"textElement":"Model 3 Standard Range Plus","identifiers":{"ELEMENT_INDICES":"1"},"tableIndex":-1,"rowIndex":84,"cellIndex":1,"fontSize":12,"issueTypeId":"SmallFontSizeIssue:XLSX","dismiss":false,"pageNumbers":[7],"coordinatesList":[[110.63600158691406,182.2123258113861,130.7662353515625,10.998000144958496]]},{"pageNumber":0,"geomIndex":7287,"lastGeomIndex":7292,"textElement":"Tesla","identifiers":{"ELEMENT_INDICES":"1"},"tableIndex":-1,"rowIndex":85,"cellIndex":0,"fontSize":12,"issueTypeId":"SmallFontSizeIssue:XLSX","dismiss":false,"pageNumbers":[8],"coordinatesList":[[51.391998291015625,347.160293340683,22.908836364746094,10.998000144958496]]},{"pageNumber":0,"geomIndex":7383,"lastGeomIndex":7388,"textElement":"Tesla","identifiers":{"ELEMENT_INDICES":"1"},"tableIndex":-1,"rowIndex":86,"cellIndex":0,"fontSize":12,"issueTypeId":"SmallFontSizeIssue:XLSX","dismiss":false,"pageNumbers":[8],"coordinatesList":[[51.391998291015625,347.160293340683,22.908836364746094,10.998000144958496]]},{"pageNumber":0,"geomIndex":7388,"lastGeomIndex":7405,"textElement":"Model S Performance","identifiers":{"ELEMENT_INDICES":"1"},"tableIndex":-1,"rowIndex":86,"cellIndex":1,"fontSize":12,"issueTypeId":"SmallFontSizeIssue:XLSX","dismiss":false,"pageNumbers":[8],"coordinatesList":[[110.63600158691406,227.1982877254486,96.83737182617188,10.998000144958496]]},{"pageNumber":0,"geomIndex":7481,"lastGeomIndex":7486,"textElement":"Tesla","identifiers":{"ELEMENT_INDICES":"1"},"tableIndex":-1,"rowIndex":87,"cellIndex":0,"fontSize":12,"issueTypeId":"SmallFontSizeIssue:XLSX","dismiss":false,"pageNumbers":[8],"coordinatesList":[[51.391998291015625,347.160293340683,22.908836364746094,10.998000144958496]]},{"pageNumber":0,"geomIndex":7486,"lastGeomIndex":7501,"textElement":"Model X Long Range","identifiers":{"ELEMENT_INDICES":"1"},"tableIndex":-1,"rowIndex":87,"cellIndex":1,"fontSize":12,"issueTypeId":"SmallFontSizeIssue:XLSX","dismiss":false,"pageNumbers":[8],"coordinatesList":[[110.63600158691406,152.2223355770111,91.10745239257812,10.998000144958496]]},{"pageNumber":0,"geomIndex":7577,"lastGeomIndex":7582,"textElement":"Tesla","identifiers":{"ELEMENT_INDICES":"1"},"tableIndex":-1,"rowIndex":88,"cellIndex":0,"fontSize":12,"issueTypeId":"SmallFontSizeIssue:XLSX","dismiss":false,"pageNumbers":[8],"coordinatesList":[[51.391998291015625,347.160293340683,22.908836364746094,10.998000144958496]]},{"pageNumber":0,"geomIndex":7582,"lastGeomIndex":7599,"textElement":"Model X Performance","identifiers":{"ELEMENT_INDICES":"1"},"tableIndex":-1,"rowIndex":88,"cellIndex":1,"fontSize":12,"issueTypeId":"SmallFontSizeIssue:XLSX","dismiss":false,"pageNumbers":[8],"coordinatesList":[[110.63600158691406,557.0943143367767,97.49725341796875,10.998000144958496]]},{"pageNumber":0,"geomIndex":7676,"lastGeomIndex":7681,"textElement":"Tesla","identifiers":{"ELEMENT_INDICES":"1"},"tableIndex":-1,"rowIndex":89,"cellIndex":0,"fontSize":12,"issueTypeId":"SmallFontSizeIssue:XLSX","dismiss":false,"pageNumbers":[8],"coordinatesList":[[51.391998291015625,347.160293340683,22.908836364746094,10.998000144958496]]},{"pageNumber":0,"geomIndex":7781,"lastGeomIndex":7786,"textElement":"Tesla","identifiers":{"ELEMENT_INDICES":"1"},"tableIndex":-1,"rowIndex":90,"cellIndex":0,"fontSize":12,"issueTypeId":"SmallFontSizeIssue:XLSX","dismiss":false,"pageNumbers":[8],"coordinatesList":[[51.391998291015625,347.160293340683,22.908836364746094,10.998000144958496]]},{"pageNumber":0,"geomIndex":7786,"lastGeomIndex":7812,"textElement":"Model Y Long Range Performance","identifiers":{"ELEMENT_INDICES":"1"},"tableIndex":-1,"rowIndex":90,"cellIndex":1,"fontSize":12,"issueTypeId":"SmallFontSizeIssue:XLSX","dismiss":false,"pageNumbers":[8],"coordinatesList":[[110.63600158691406,257.1882779598236,151.11253356933594,10.998000144958496]]},{"pageNumber":0,"geomIndex":7888,"lastGeomIndex":7892,"textElement":"Opel","identifiers":{"ELEMENT_INDICES":"1"},"tableIndex":-1,"rowIndex":91,"cellIndex":0,"fontSize":12,"issueTypeId":"SmallFontSizeIssue:XLSX","dismiss":false,"pageNumbers":[8],"coordinatesList":[[51.391998291015625,122.23130774497986,21.039169311523438,10.998000144958496]]},{"pageNumber":0,"geomIndex":7892,"lastGeomIndex":7899,"textElement":"Mokka-e","identifiers":{"ELEMENT_INDICES":"1"},"tableIndex":-1,"rowIndex":91,"cellIndex":1,"fontSize":12,"issueTypeId":"SmallFontSizeIssue:XLSX","dismiss":false,"pageNumbers":[8],"coordinatesList":[[110.63600158691406,122.23130774497986,39.273834228515625,10.998000144958496]]},{"pageNumber":0,"geomIndex":8031,"lastGeomIndex":8035,"textElement":"Ford","identifiers":{"ELEMENT_INDICES":"1"},"tableIndex":-1,"rowIndex":93,"cellIndex":0,"fontSize":12,"issueTypeId":"SmallFontSizeIssue:XLSX","dismiss":false,"pageNumbers":[8],"coordinatesList":[[51.391998291015625,377.15132117271423,20.445274353027344,10.998000144958496]]},{"pageNumber":0,"geomIndex":8035,"lastGeomIndex":8053,"textElement":"Mustang Mach-E ER AWD","identifiers":{"ELEMENT_INDICES":"1"},"tableIndex":-1,"rowIndex":93,"cellIndex":1,"fontSize":12,"issueTypeId":"SmallFontSizeIssue:XLSX","dismiss":false,"pageNumbers":[8],"coordinatesList":[[110.63600158691406,377.15132117271423,114.84111022949219,10.998000144958496]]},{"pageNumber":0,"geomIndex":8108,"lastGeomIndex":8109,"textElement":"6","identifiers":{"ELEMENT_INDICES":"1"},"tableIndex":-1,"rowIndex":93,"cellIndex":6,"fontSize":12,"issueTypeId":"SmallFontSizeIssue:XLSX","dismiss":false,"pageNumbers":[8],"coordinatesList":[[322.2409973144531,572.0893094539642,5.56500244140625,10.998000144958496]]},{"pageNumber":0,"geomIndex":8127,"lastGeomIndex":8131,"textElement":"Ford","identifiers":{"ELEMENT_INDICES":"1"},"tableIndex":-1,"rowIndex":94,"cellIndex":0,"fontSize":12,"issueTypeId":"SmallFontSizeIssue:XLSX","dismiss":false,"pageNumbers":[8],"coordinatesList":[[51.391998291015625,377.15132117271423,20.445274353027344,10.998000144958496]]},{"pageNumber":0,"geomIndex":8131,"lastGeomIndex":8149,"textElement":"Mustang Mach-E ER RWD","identifiers":{"ELEMENT_INDICES":"1"},"tableIndex":-1,"rowIndex":94,"cellIndex":1,"fontSize":12,"issueTypeId":"SmallFontSizeIssue:XLSX","dismiss":false,"pageNumbers":[8],"coordinatesList":[[110.63600158691406,302.17430090904236,114.4451904296875,10.998000144958496]]},{"pageNumber":0,"geomIndex":8204,"lastGeomIndex":8205,"textElement":"7","identifiers":{"ELEMENT_INDICES":"1"},"tableIndex":-1,"rowIndex":94,"cellIndex":6,"fontSize":12,"issueTypeId":"SmallFontSizeIssue:XLSX","dismiss":false,"pageNumbers":[8],"coordinatesList":[[322.2409973144531,362.1553189754486,5.56500244140625,10.998000144958496]]},{"pageNumber":0,"geomIndex":8205,"lastGeomIndex":8208,"textElement":"200","identifiers":{"ELEMENT_INDICES":"1"},"tableIndex":-1,"rowIndex":94,"cellIndex":7,"fontSize":12,"issueTypeId":"SmallFontSizeIssue:XLSX","dismiss":false,"pageNumbers":[8],"coordinatesList":[[132.79696655273438,332.1652982234955,16.694961547851562,10.998000144958496]]},{"pageNumber":0,"geomIndex":8223,"lastGeomIndex":8227,"textElement":"Ford","identifiers":{"ELEMENT_INDICES":"1"},"tableIndex":-1,"rowIndex":95,"cellIndex":0,"fontSize":12,"issueTypeId":"SmallFontSizeIssue:XLSX","dismiss":false,"pageNumbers":[8],"coordinatesList":[[51.391998291015625,377.15132117271423,20.445274353027344,10.998000144958496]]},{"pageNumber":0,"geomIndex":8227,"lastGeomIndex":8245,"textElement":"Mustang Mach-E SR AWD","identifiers":{"ELEMENT_INDICES":"1"},"tableIndex":-1,"rowIndex":95,"cellIndex":1,"fontSize":12,"issueTypeId":"SmallFontSizeIssue:XLSX","dismiss":false,"pageNumbers":[8],"coordinatesList":[[110.63600158691406,512.108291387558,114.52217102050781,10.998000144958496]]},{"pageNumber":0,"geomIndex":8300,"lastGeomIndex":8301,"textElement":"6","identifiers":{"ELEMENT_INDICES":"1"},"tableIndex":-1,"rowIndex":95,"cellIndex":6,"fontSize":12,"issueTypeId":"SmallFontSizeIssue:XLSX","dismiss":false,"pageNumbers":[8],"coordinatesList":[[322.2409973144531,572.0893094539642,5.56500244140625,10.998000144958496]]},{"pageNumber":0,"geomIndex":8319,"lastGeomIndex":8323,"textElement":"Ford","identifiers":{"ELEMENT_INDICES":"1"},"tableIndex":-1,"rowIndex":96,"cellIndex":0,"fontSize":12,"issueTypeId":"SmallFontSizeIssue:XLSX","dismiss":false,"pageNumbers":[8],"coordinatesList":[[51.391998291015625,377.15132117271423,20.445274353027344,10.998000144958496]]},{"pageNumber":0,"geomIndex":8323,"lastGeomIndex":8341,"textElement":"Mustang Mach-E SR RWD","identifiers":{"ELEMENT_INDICES":"1"},"tableIndex":-1,"rowIndex":96,"cellIndex":1,"fontSize":12,"issueTypeId":"SmallFontSizeIssue:XLSX","dismiss":false,"pageNumbers":[8],"coordinatesList":[[110.63600158691406,587.0843045711517,114.12625122070312,10.998000144958496]]},{"pageNumber":0,"geomIndex":8482,"lastGeomIndex":8483,"textElement":"9","identifiers":{"ELEMENT_INDICES":"1"},"tableIndex":-1,"rowIndex":97,"cellIndex":6,"fontSize":12,"issueTypeId":"SmallFontSizeIssue:XLSX","dismiss":false,"pageNumbers":[9],"coordinatesList":[[322.2409973144531,62.25028967857361,5.56500244140625,10.998000144958496]]},{"pageNumber":0,"geomIndex":8500,"lastGeomIndex":8503,"textElement":"Kia","identifiers":{"ELEMENT_INDICES":"1"},"tableIndex":-1,"rowIndex":98,"cellIndex":0,"fontSize":12,"issueTypeId":"SmallFontSizeIssue:XLSX","dismiss":false,"pageNumbers":[9],"coordinatesList":[[51.391998291015625,62.25028967857361,13.494544982910156,10.998000144958496]]}]</vt:lpwstr>
  </property>
</Properties>
</file>